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showInkAnnotation="0" codeName="ThisWorkbook"/>
  <mc:AlternateContent xmlns:mc="http://schemas.openxmlformats.org/markup-compatibility/2006">
    <mc:Choice Requires="x15">
      <x15ac:absPath xmlns:x15ac="http://schemas.microsoft.com/office/spreadsheetml/2010/11/ac" url="R:\20_GES_HSEQ\47_PROGRAMAS\3_Capacitacion_Entrenamiento\2026\01_Programa\"/>
    </mc:Choice>
  </mc:AlternateContent>
  <xr:revisionPtr revIDLastSave="0" documentId="13_ncr:1_{CC2797D4-3C97-4E96-8E31-A6B3FEF91D5D}" xr6:coauthVersionLast="47" xr6:coauthVersionMax="47" xr10:uidLastSave="{00000000-0000-0000-0000-000000000000}"/>
  <bookViews>
    <workbookView xWindow="20370" yWindow="-120" windowWidth="29040" windowHeight="15720" tabRatio="858" firstSheet="1" activeTab="3" xr2:uid="{00000000-000D-0000-FFFF-FFFF00000000}"/>
  </bookViews>
  <sheets>
    <sheet name="RESUMEN" sheetId="20" state="hidden" r:id="rId1"/>
    <sheet name="CRONOGRAMA" sheetId="22" r:id="rId2"/>
    <sheet name="MATRIZ POR CARGO" sheetId="4" r:id="rId3"/>
    <sheet name="SEGUIMIENTO_PERSONAL" sheetId="15" r:id="rId4"/>
    <sheet name="Hoja1" sheetId="21" state="hidden" r:id="rId5"/>
    <sheet name="INDICADORES" sheetId="12" r:id="rId6"/>
    <sheet name="HC" sheetId="23" r:id="rId7"/>
  </sheets>
  <definedNames>
    <definedName name="_xlnm._FilterDatabase" localSheetId="2" hidden="1">'MATRIZ POR CARGO'!#REF!</definedName>
    <definedName name="_xlnm._FilterDatabase" localSheetId="3" hidden="1">SEGUIMIENTO_PERSONAL!$A$8:$CC$67</definedName>
    <definedName name="_l9001" localSheetId="3">#REF!</definedName>
    <definedName name="_l9001">#REF!</definedName>
    <definedName name="acciones" localSheetId="3">#REF!</definedName>
    <definedName name="acciones">#REF!</definedName>
    <definedName name="ALCANCE" localSheetId="3">#REF!</definedName>
    <definedName name="ALCANCE">#REF!</definedName>
    <definedName name="Alcance.">#REF!</definedName>
    <definedName name="Alcance1">#REF!</definedName>
    <definedName name="AMENAZAS" localSheetId="3">#REF!</definedName>
    <definedName name="AMENAZAS">#REF!</definedName>
    <definedName name="anterior">#REF!</definedName>
    <definedName name="_xlnm.Print_Area" localSheetId="5">INDICADORES!$A$1:$AA$29</definedName>
    <definedName name="_xlnm.Print_Area" localSheetId="3">SEGUIMIENTO_PERSONAL!$B$3:$I$9</definedName>
    <definedName name="AUDITOR1" localSheetId="3">#REF!</definedName>
    <definedName name="AUDITOR1">#REF!</definedName>
    <definedName name="AUDITOR2" localSheetId="3">#REF!</definedName>
    <definedName name="AUDITOR2">#REF!</definedName>
    <definedName name="CALIDAD" localSheetId="3">#REF!</definedName>
    <definedName name="CALIDAD">#REF!</definedName>
    <definedName name="ccc" localSheetId="3">#REF!</definedName>
    <definedName name="ccc">#REF!</definedName>
    <definedName name="CODIGO">#REF!</definedName>
    <definedName name="compefactores" localSheetId="3">#REF!</definedName>
    <definedName name="compefactores">#REF!</definedName>
    <definedName name="CONSULTOR" localSheetId="3">#REF!</definedName>
    <definedName name="CONSULTOR">#REF!</definedName>
    <definedName name="_xlnm.Criteria" localSheetId="3">#REF!</definedName>
    <definedName name="_xlnm.Criteria">#REF!</definedName>
    <definedName name="dd" localSheetId="3">#REF!</definedName>
    <definedName name="dd">#REF!</definedName>
    <definedName name="DEBILIDADES" localSheetId="3">#REF!</definedName>
    <definedName name="DEBILIDADES">#REF!</definedName>
    <definedName name="DECISIONES">#REF!</definedName>
    <definedName name="DEMORA1" localSheetId="3">#REF!</definedName>
    <definedName name="DEMORA1">#REF!</definedName>
    <definedName name="Dimensiones" localSheetId="3">#REF!</definedName>
    <definedName name="Dimensiones">#REF!</definedName>
    <definedName name="dos">#REF!</definedName>
    <definedName name="EMPRESA">#REF!</definedName>
    <definedName name="FECHA" localSheetId="3">#REF!</definedName>
    <definedName name="FECHA">#REF!</definedName>
    <definedName name="FORTALEZA" localSheetId="3">#REF!</definedName>
    <definedName name="FORTALEZA">#REF!</definedName>
    <definedName name="INICIO">#REF!</definedName>
    <definedName name="k" localSheetId="3">#REF!</definedName>
    <definedName name="k">#REF!</definedName>
    <definedName name="LIDER" localSheetId="3">#REF!</definedName>
    <definedName name="LIDER">#REF!</definedName>
    <definedName name="LISTA_PROCESOS" localSheetId="3">#REF!</definedName>
    <definedName name="LISTA_PROCESOS">#REF!</definedName>
    <definedName name="LISTADO" localSheetId="3">#REF!</definedName>
    <definedName name="LISTADO">#REF!</definedName>
    <definedName name="medios">#REF!</definedName>
    <definedName name="MEDIOSRECEPCION">#REF!</definedName>
    <definedName name="MES" localSheetId="1">#REF!</definedName>
    <definedName name="MES">Hoja1!$A$1:$A$13</definedName>
    <definedName name="N_VISITA" localSheetId="3">#REF!</definedName>
    <definedName name="N_VISITA">#REF!</definedName>
    <definedName name="NATURALEZA">#REF!</definedName>
    <definedName name="NIVELES">#REF!</definedName>
    <definedName name="nuevo">#REF!</definedName>
    <definedName name="OBJETIVO" localSheetId="3">#REF!</definedName>
    <definedName name="OBJETIVO">#REF!</definedName>
    <definedName name="OPRTUNIDADES" localSheetId="3">#REF!</definedName>
    <definedName name="OPRTUNIDADES">#REF!</definedName>
    <definedName name="PROYECTO">#REF!</definedName>
    <definedName name="REPRESENTANTE" localSheetId="3">#REF!</definedName>
    <definedName name="REPRESENTANTE">#REF!</definedName>
    <definedName name="REQUISITOS" localSheetId="3">#REF!</definedName>
    <definedName name="REQUISITOS">#REF!</definedName>
    <definedName name="TIPOS">#REF!</definedName>
    <definedName name="_xlnm.Print_Titles" localSheetId="3">SEGUIMIENTO_PERSONAL!$B:$I,SEGUIMIENTO_PERSONAL!$3:$9</definedName>
    <definedName name="UNICO">#REF!</definedName>
    <definedName name="UNO" localSheetId="3">#REF!</definedName>
    <definedName name="UNO">#REF!</definedName>
    <definedName name="visión" localSheetId="3">#REF!</definedName>
    <definedName name="visió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0" i="22" l="1"/>
  <c r="AI25" i="22"/>
  <c r="AH24" i="22"/>
  <c r="AH23" i="22"/>
  <c r="AH22" i="22"/>
  <c r="AH11" i="22"/>
  <c r="AH12" i="22"/>
  <c r="AH13" i="22"/>
  <c r="AH14" i="22"/>
  <c r="AH15" i="22"/>
  <c r="AH16" i="22"/>
  <c r="AH17" i="22"/>
  <c r="AH18" i="22"/>
  <c r="AH19" i="22"/>
  <c r="AH20" i="22"/>
  <c r="AH21" i="22"/>
  <c r="AH25" i="22"/>
  <c r="AH10" i="22"/>
  <c r="AI11" i="22"/>
  <c r="AI12" i="22"/>
  <c r="AI13" i="22"/>
  <c r="AI14" i="22"/>
  <c r="AI15" i="22"/>
  <c r="AI16" i="22"/>
  <c r="AI17" i="22"/>
  <c r="AI18" i="22"/>
  <c r="AI19" i="22"/>
  <c r="AI20" i="22"/>
  <c r="AI21" i="22"/>
  <c r="AI22" i="22"/>
  <c r="AI23" i="22"/>
  <c r="AI24" i="22"/>
  <c r="AI10" i="22"/>
  <c r="Y5" i="23" l="1"/>
  <c r="AA5" i="23" s="1"/>
  <c r="X5" i="23"/>
  <c r="Z5" i="23" s="1"/>
  <c r="Y4" i="23"/>
  <c r="AA4" i="23" s="1"/>
  <c r="X4" i="23"/>
  <c r="Z4" i="23" s="1"/>
  <c r="J64" i="15" l="1"/>
  <c r="J67" i="15"/>
  <c r="BJ64" i="15"/>
  <c r="BJ65" i="15"/>
  <c r="BJ67" i="15"/>
  <c r="Y17" i="23"/>
  <c r="AA17" i="23" s="1"/>
  <c r="Y16" i="23"/>
  <c r="AA16" i="23" s="1"/>
  <c r="X17" i="23"/>
  <c r="Z17" i="23" s="1"/>
  <c r="X16" i="23"/>
  <c r="Z16" i="23" s="1"/>
  <c r="U15" i="23"/>
  <c r="W15" i="23" s="1"/>
  <c r="T15" i="23"/>
  <c r="V15" i="23" s="1"/>
  <c r="U14" i="23"/>
  <c r="W14" i="23" s="1"/>
  <c r="T14" i="23"/>
  <c r="V14" i="23" s="1"/>
  <c r="U13" i="23"/>
  <c r="W13" i="23" s="1"/>
  <c r="T13" i="23"/>
  <c r="V13" i="23" s="1"/>
  <c r="Y18" i="23"/>
  <c r="AA18" i="23" s="1"/>
  <c r="X18" i="23"/>
  <c r="Z18" i="23" s="1"/>
  <c r="Y15" i="23"/>
  <c r="AA15" i="23" s="1"/>
  <c r="X15" i="23"/>
  <c r="Z15" i="23" s="1"/>
  <c r="Y14" i="23"/>
  <c r="X14" i="23"/>
  <c r="Y13" i="23"/>
  <c r="X13" i="23"/>
  <c r="X8" i="23"/>
  <c r="Z8" i="23" s="1"/>
  <c r="R16" i="23" l="1"/>
  <c r="AI9" i="22"/>
  <c r="AK16" i="22"/>
  <c r="AJ16" i="22"/>
  <c r="AA20" i="23"/>
  <c r="Z20" i="23"/>
  <c r="Z19" i="23"/>
  <c r="AH67" i="15"/>
  <c r="T31" i="22" s="1"/>
  <c r="AH66" i="15"/>
  <c r="AH65" i="15"/>
  <c r="AH64" i="15"/>
  <c r="R40" i="22"/>
  <c r="U16" i="23"/>
  <c r="W16" i="23" s="1"/>
  <c r="T16" i="23"/>
  <c r="V16" i="23" s="1"/>
  <c r="U18" i="23"/>
  <c r="W18" i="23" s="1"/>
  <c r="T18" i="23"/>
  <c r="V18" i="23" s="1"/>
  <c r="U17" i="23"/>
  <c r="W17" i="23" s="1"/>
  <c r="T17" i="23"/>
  <c r="V17" i="23" s="1"/>
  <c r="U7" i="23"/>
  <c r="W7" i="23" s="1"/>
  <c r="T7" i="23"/>
  <c r="V7" i="23" s="1"/>
  <c r="U5" i="23"/>
  <c r="W5" i="23" s="1"/>
  <c r="T5" i="23"/>
  <c r="V5" i="23" s="1"/>
  <c r="U4" i="23"/>
  <c r="W4" i="23" s="1"/>
  <c r="T4" i="23"/>
  <c r="V4" i="23" s="1"/>
  <c r="J40" i="22"/>
  <c r="J41" i="22"/>
  <c r="J35" i="22"/>
  <c r="J30" i="22"/>
  <c r="P30" i="22"/>
  <c r="R30" i="22"/>
  <c r="V20" i="23" l="1"/>
  <c r="AL16" i="22"/>
  <c r="Y8" i="23"/>
  <c r="W20" i="23"/>
  <c r="W19" i="23"/>
  <c r="V19" i="23"/>
  <c r="S5" i="23"/>
  <c r="S6" i="23"/>
  <c r="S7" i="23"/>
  <c r="S16" i="23"/>
  <c r="S17" i="23"/>
  <c r="S18" i="23"/>
  <c r="S4" i="23"/>
  <c r="R5" i="23"/>
  <c r="R6" i="23"/>
  <c r="R7" i="23"/>
  <c r="R17" i="23"/>
  <c r="R18" i="23"/>
  <c r="R4" i="23"/>
  <c r="F4" i="23"/>
  <c r="N67" i="15"/>
  <c r="R67" i="15"/>
  <c r="V67" i="15"/>
  <c r="Z67" i="15"/>
  <c r="AD67" i="15"/>
  <c r="AL67" i="15"/>
  <c r="AP67" i="15"/>
  <c r="AT67" i="15"/>
  <c r="AX67" i="15"/>
  <c r="BB67" i="15"/>
  <c r="BF67" i="15"/>
  <c r="BN67" i="15"/>
  <c r="BR67" i="15"/>
  <c r="N66" i="15"/>
  <c r="R66" i="15"/>
  <c r="V66" i="15"/>
  <c r="Z66" i="15"/>
  <c r="AD66" i="15"/>
  <c r="AL66" i="15"/>
  <c r="AP66" i="15"/>
  <c r="AT66" i="15"/>
  <c r="AX66" i="15"/>
  <c r="BB66" i="15"/>
  <c r="BF66" i="15"/>
  <c r="BJ66" i="15"/>
  <c r="BN66" i="15"/>
  <c r="BR66" i="15"/>
  <c r="N65" i="15"/>
  <c r="R65" i="15"/>
  <c r="V65" i="15"/>
  <c r="Z65" i="15"/>
  <c r="AD65" i="15"/>
  <c r="AL65" i="15"/>
  <c r="AP65" i="15"/>
  <c r="AT65" i="15"/>
  <c r="AX65" i="15"/>
  <c r="BB65" i="15"/>
  <c r="BF65" i="15"/>
  <c r="BN65" i="15"/>
  <c r="BR65" i="15"/>
  <c r="N64" i="15"/>
  <c r="R64" i="15"/>
  <c r="V64" i="15"/>
  <c r="Z64" i="15"/>
  <c r="AD64" i="15"/>
  <c r="AL64" i="15"/>
  <c r="AP64" i="15"/>
  <c r="AT64" i="15"/>
  <c r="AX64" i="15"/>
  <c r="BB64" i="15"/>
  <c r="BF64" i="15"/>
  <c r="BN64" i="15"/>
  <c r="BR64" i="15"/>
  <c r="J66" i="15"/>
  <c r="J65" i="15"/>
  <c r="AA8" i="23" l="1"/>
  <c r="AA19" i="23" s="1"/>
  <c r="S20" i="23"/>
  <c r="R20" i="23"/>
  <c r="S19" i="23"/>
  <c r="R19" i="23"/>
  <c r="N5" i="23"/>
  <c r="O5" i="23"/>
  <c r="N7" i="23"/>
  <c r="O7" i="23"/>
  <c r="N9" i="23"/>
  <c r="O9" i="23"/>
  <c r="N14" i="23"/>
  <c r="O14" i="23"/>
  <c r="N15" i="23"/>
  <c r="O15" i="23"/>
  <c r="N17" i="23"/>
  <c r="O17" i="23"/>
  <c r="N18" i="23"/>
  <c r="O18" i="23"/>
  <c r="O4" i="23"/>
  <c r="N4" i="23"/>
  <c r="O20" i="23" l="1"/>
  <c r="N20" i="23"/>
  <c r="N19" i="23"/>
  <c r="O19" i="23"/>
  <c r="Z7" i="15"/>
  <c r="V7" i="15"/>
  <c r="H4" i="4"/>
  <c r="H3" i="4"/>
  <c r="G4" i="4"/>
  <c r="G3" i="4"/>
  <c r="R3" i="4"/>
  <c r="Q3" i="4"/>
  <c r="P3" i="4"/>
  <c r="O3" i="4"/>
  <c r="N3" i="4"/>
  <c r="M3" i="4"/>
  <c r="L3" i="4"/>
  <c r="K3" i="4"/>
  <c r="I3" i="4"/>
  <c r="F3" i="4" l="1"/>
  <c r="K5" i="23"/>
  <c r="K6" i="23"/>
  <c r="K7" i="23"/>
  <c r="K13" i="23"/>
  <c r="K14" i="23"/>
  <c r="K15" i="23"/>
  <c r="K16" i="23"/>
  <c r="K17" i="23"/>
  <c r="K18" i="23"/>
  <c r="K4" i="23"/>
  <c r="J5" i="23"/>
  <c r="J6" i="23"/>
  <c r="J7" i="23"/>
  <c r="J13" i="23"/>
  <c r="J14" i="23"/>
  <c r="J15" i="23"/>
  <c r="J16" i="23"/>
  <c r="J17" i="23"/>
  <c r="J18" i="23"/>
  <c r="J4" i="23"/>
  <c r="G5" i="23"/>
  <c r="G13" i="23"/>
  <c r="G15" i="23"/>
  <c r="G17" i="23"/>
  <c r="G18" i="23"/>
  <c r="G4" i="23"/>
  <c r="F5" i="23"/>
  <c r="F13" i="23"/>
  <c r="F15" i="23"/>
  <c r="F17" i="23"/>
  <c r="F18" i="23"/>
  <c r="L36" i="22"/>
  <c r="N36" i="22"/>
  <c r="P36" i="22"/>
  <c r="R36" i="22"/>
  <c r="T36" i="22"/>
  <c r="V36" i="22"/>
  <c r="X36" i="22"/>
  <c r="Z36" i="22"/>
  <c r="AB36" i="22"/>
  <c r="AD36" i="22"/>
  <c r="AF36" i="22"/>
  <c r="L35" i="22"/>
  <c r="N35" i="22"/>
  <c r="P35" i="22"/>
  <c r="R35" i="22"/>
  <c r="T35" i="22"/>
  <c r="V35" i="22"/>
  <c r="X35" i="22"/>
  <c r="Z35" i="22"/>
  <c r="AB35" i="22"/>
  <c r="AD35" i="22"/>
  <c r="AF35" i="22"/>
  <c r="L31" i="22"/>
  <c r="N31" i="22"/>
  <c r="P31" i="22"/>
  <c r="R31" i="22"/>
  <c r="V31" i="22"/>
  <c r="X31" i="22"/>
  <c r="Z31" i="22"/>
  <c r="AB31" i="22"/>
  <c r="AD31" i="22"/>
  <c r="AF31" i="22"/>
  <c r="L30" i="22"/>
  <c r="N30" i="22"/>
  <c r="T30" i="22"/>
  <c r="T32" i="22" s="1"/>
  <c r="V30" i="22"/>
  <c r="X30" i="22"/>
  <c r="Z30" i="22"/>
  <c r="AB30" i="22"/>
  <c r="AD30" i="22"/>
  <c r="AF30" i="22"/>
  <c r="J31" i="22"/>
  <c r="D1" i="12"/>
  <c r="D2" i="12"/>
  <c r="J19" i="23" l="1"/>
  <c r="J20" i="23"/>
  <c r="G20" i="23"/>
  <c r="G19" i="23"/>
  <c r="K20" i="23"/>
  <c r="K19" i="23"/>
  <c r="F20" i="23"/>
  <c r="F19" i="23"/>
  <c r="AH8" i="22"/>
  <c r="AI8" i="22"/>
  <c r="AJ8" i="22"/>
  <c r="AK8" i="22"/>
  <c r="AH9" i="22"/>
  <c r="AJ9" i="22"/>
  <c r="AK9" i="22"/>
  <c r="AJ10" i="22"/>
  <c r="AL10" i="22" s="1"/>
  <c r="AJ11" i="22"/>
  <c r="AK11" i="22"/>
  <c r="AJ12" i="22"/>
  <c r="AK12" i="22"/>
  <c r="AJ14" i="22"/>
  <c r="AK14" i="22"/>
  <c r="AJ13" i="22"/>
  <c r="AK13" i="22"/>
  <c r="AJ15" i="22"/>
  <c r="AK15" i="22"/>
  <c r="AJ17" i="22"/>
  <c r="AK17" i="22"/>
  <c r="AJ18" i="22"/>
  <c r="AK18" i="22"/>
  <c r="AJ19" i="22"/>
  <c r="AK19" i="22"/>
  <c r="AJ20" i="22"/>
  <c r="AK20" i="22"/>
  <c r="AJ21" i="22"/>
  <c r="AK21" i="22"/>
  <c r="AJ22" i="22"/>
  <c r="AK22" i="22"/>
  <c r="AJ23" i="22"/>
  <c r="AK23" i="22"/>
  <c r="AJ24" i="22"/>
  <c r="AK24" i="22"/>
  <c r="AJ25" i="22"/>
  <c r="AK25" i="22"/>
  <c r="AH7" i="22"/>
  <c r="AI7" i="22"/>
  <c r="AJ7" i="22"/>
  <c r="AK7" i="22"/>
  <c r="AK6" i="22"/>
  <c r="AJ6" i="22"/>
  <c r="AI6" i="22"/>
  <c r="AH6" i="22"/>
  <c r="AF41" i="22"/>
  <c r="AF40" i="22"/>
  <c r="AF42" i="22" s="1"/>
  <c r="AF37" i="22"/>
  <c r="AF32" i="22"/>
  <c r="D24" i="23" l="1"/>
  <c r="D25" i="23"/>
  <c r="AL22" i="22"/>
  <c r="L17" i="12"/>
  <c r="AL15" i="22"/>
  <c r="I19" i="12"/>
  <c r="AL19" i="22"/>
  <c r="AL7" i="22"/>
  <c r="L15" i="12"/>
  <c r="L19" i="12"/>
  <c r="AL24" i="22"/>
  <c r="F19" i="12"/>
  <c r="O19" i="12"/>
  <c r="AL8" i="22"/>
  <c r="AL9" i="22"/>
  <c r="AL11" i="22"/>
  <c r="AL12" i="22"/>
  <c r="AL14" i="22"/>
  <c r="AL13" i="22"/>
  <c r="AL17" i="22"/>
  <c r="AL18" i="22"/>
  <c r="AL20" i="22"/>
  <c r="AL21" i="22"/>
  <c r="AL23" i="22"/>
  <c r="AL25" i="22"/>
  <c r="I15" i="12"/>
  <c r="I17" i="12"/>
  <c r="O15" i="12"/>
  <c r="O17" i="12"/>
  <c r="F15" i="12"/>
  <c r="F17" i="12"/>
  <c r="BR7" i="15"/>
  <c r="BN7" i="15"/>
  <c r="BJ7" i="15"/>
  <c r="BF7" i="15"/>
  <c r="BB7" i="15"/>
  <c r="AX7" i="15"/>
  <c r="AT7" i="15"/>
  <c r="AP7" i="15"/>
  <c r="AL7" i="15"/>
  <c r="AD7" i="15"/>
  <c r="R7" i="15"/>
  <c r="N7" i="15"/>
  <c r="J7" i="15"/>
  <c r="R4" i="4"/>
  <c r="Q4" i="4"/>
  <c r="P4" i="4"/>
  <c r="O4" i="4"/>
  <c r="N4" i="4"/>
  <c r="M4" i="4"/>
  <c r="L4" i="4"/>
  <c r="K4" i="4"/>
  <c r="I4" i="4"/>
  <c r="F4" i="4"/>
  <c r="E4" i="4"/>
  <c r="D4" i="4"/>
  <c r="E3" i="4"/>
  <c r="D3" i="4"/>
  <c r="AD41" i="22"/>
  <c r="AB41" i="22"/>
  <c r="Z41" i="22"/>
  <c r="X41" i="22"/>
  <c r="V41" i="22"/>
  <c r="T41" i="22"/>
  <c r="R41" i="22"/>
  <c r="P41" i="22"/>
  <c r="N41" i="22"/>
  <c r="L41" i="22"/>
  <c r="AD40" i="22"/>
  <c r="AD42" i="22" s="1"/>
  <c r="AB40" i="22"/>
  <c r="AB42" i="22" s="1"/>
  <c r="Z40" i="22"/>
  <c r="Z42" i="22" s="1"/>
  <c r="X40" i="22"/>
  <c r="X42" i="22" s="1"/>
  <c r="V40" i="22"/>
  <c r="T40" i="22"/>
  <c r="P40" i="22"/>
  <c r="N40" i="22"/>
  <c r="L40" i="22"/>
  <c r="J36" i="22"/>
  <c r="AD37" i="22"/>
  <c r="AB37" i="22"/>
  <c r="Z37" i="22"/>
  <c r="X37" i="22"/>
  <c r="V37" i="22"/>
  <c r="T37" i="22"/>
  <c r="P37" i="22"/>
  <c r="N37" i="22"/>
  <c r="AD32" i="22"/>
  <c r="AB32" i="22"/>
  <c r="Z32" i="22"/>
  <c r="V32" i="22"/>
  <c r="R32" i="22"/>
  <c r="P32" i="22"/>
  <c r="N32" i="22"/>
  <c r="P33" i="22" l="1"/>
  <c r="V42" i="22"/>
  <c r="V43" i="22" s="1"/>
  <c r="L10" i="12" s="1"/>
  <c r="T42" i="22"/>
  <c r="AB33" i="22"/>
  <c r="O13" i="12" s="1"/>
  <c r="R42" i="22"/>
  <c r="N42" i="22"/>
  <c r="AB43" i="22"/>
  <c r="O10" i="12" s="1"/>
  <c r="AB38" i="22"/>
  <c r="O8" i="12" s="1"/>
  <c r="I13" i="12"/>
  <c r="L42" i="22"/>
  <c r="V38" i="22"/>
  <c r="L8" i="12" s="1"/>
  <c r="P42" i="22"/>
  <c r="R37" i="22"/>
  <c r="P38" i="22" s="1"/>
  <c r="I8" i="12" s="1"/>
  <c r="L32" i="22"/>
  <c r="L37" i="22"/>
  <c r="J42" i="22"/>
  <c r="J37" i="22"/>
  <c r="J32" i="22"/>
  <c r="X32" i="22"/>
  <c r="V33" i="22" s="1"/>
  <c r="L13" i="12" s="1"/>
  <c r="AL6" i="22"/>
  <c r="P43" i="22" l="1"/>
  <c r="I10" i="12" s="1"/>
  <c r="J38" i="22"/>
  <c r="F8" i="12" s="1"/>
  <c r="J43" i="22"/>
  <c r="F10" i="12" s="1"/>
  <c r="J33" i="22"/>
  <c r="F13" i="12" s="1"/>
  <c r="AH40" i="22" l="1"/>
  <c r="AH35" i="22"/>
  <c r="AH30" i="22"/>
  <c r="C8" i="20"/>
  <c r="C13" i="20" s="1"/>
  <c r="AAT13" i="20"/>
  <c r="XR13" i="20"/>
  <c r="RF13" i="20"/>
  <c r="MX13" i="20"/>
  <c r="MW13" i="20"/>
  <c r="MT13" i="20"/>
  <c r="MS13" i="20"/>
  <c r="MR13" i="20"/>
  <c r="MQ13" i="20"/>
  <c r="MP13" i="20"/>
  <c r="MO13" i="20"/>
  <c r="MN13" i="20"/>
  <c r="MM13" i="20"/>
  <c r="MH13" i="20"/>
  <c r="MG13" i="20"/>
  <c r="MF13" i="20"/>
  <c r="ME13" i="20"/>
  <c r="MD13" i="20"/>
  <c r="MC13" i="20"/>
  <c r="MB13" i="20"/>
  <c r="MA13" i="20"/>
  <c r="LZ13" i="20"/>
  <c r="LY13" i="20"/>
  <c r="LX13" i="20"/>
  <c r="LW13" i="20"/>
  <c r="LT13" i="20"/>
  <c r="LS13" i="20"/>
  <c r="LR13" i="20"/>
  <c r="LQ13" i="20"/>
  <c r="LP13" i="20"/>
  <c r="LO13" i="20"/>
  <c r="LJ13" i="20"/>
  <c r="LI13" i="20"/>
  <c r="LH13" i="20"/>
  <c r="LG13" i="20"/>
  <c r="LF13" i="20"/>
  <c r="LE13" i="20"/>
  <c r="LD13" i="20"/>
  <c r="LC13" i="20"/>
  <c r="LB13" i="20"/>
  <c r="LA13" i="20"/>
  <c r="KZ13" i="20"/>
  <c r="KY13" i="20"/>
  <c r="KX13" i="20"/>
  <c r="KW13" i="20"/>
  <c r="KT13" i="20"/>
  <c r="KS13" i="20"/>
  <c r="KR13" i="20"/>
  <c r="KQ13" i="20"/>
  <c r="KL13" i="20"/>
  <c r="KK13" i="20"/>
  <c r="KJ13" i="20"/>
  <c r="KI13" i="20"/>
  <c r="KH13" i="20"/>
  <c r="KG13" i="20"/>
  <c r="KF13" i="20"/>
  <c r="KE13" i="20"/>
  <c r="KD13" i="20"/>
  <c r="KC13" i="20"/>
  <c r="KB13" i="20"/>
  <c r="KA13" i="20"/>
  <c r="JZ13" i="20"/>
  <c r="JY13" i="20"/>
  <c r="JX13" i="20"/>
  <c r="JW13" i="20"/>
  <c r="JT13" i="20"/>
  <c r="JS13" i="20"/>
  <c r="JN13" i="20"/>
  <c r="JM13" i="20"/>
  <c r="JL13" i="20"/>
  <c r="JK13" i="20"/>
  <c r="JJ13" i="20"/>
  <c r="JI13" i="20"/>
  <c r="JH13" i="20"/>
  <c r="JG13" i="20"/>
  <c r="JF13" i="20"/>
  <c r="JE13" i="20"/>
  <c r="JD13" i="20"/>
  <c r="JC13" i="20"/>
  <c r="JB13" i="20"/>
  <c r="JA13" i="20"/>
  <c r="IZ13" i="20"/>
  <c r="IY13" i="20"/>
  <c r="IX13" i="20"/>
  <c r="IW13" i="20"/>
  <c r="IP13" i="20"/>
  <c r="IO13" i="20"/>
  <c r="IN13" i="20"/>
  <c r="IM13" i="20"/>
  <c r="IL13" i="20"/>
  <c r="IK13" i="20"/>
  <c r="IJ13" i="20"/>
  <c r="II13" i="20"/>
  <c r="IH13" i="20"/>
  <c r="IG13" i="20"/>
  <c r="IF13" i="20"/>
  <c r="IE13" i="20"/>
  <c r="ID13" i="20"/>
  <c r="IC13" i="20"/>
  <c r="IB13" i="20"/>
  <c r="IA13" i="20"/>
  <c r="HZ13" i="20"/>
  <c r="HY13" i="20"/>
  <c r="HX13" i="20"/>
  <c r="HW13" i="20"/>
  <c r="HR13" i="20"/>
  <c r="HQ13" i="20"/>
  <c r="HP13" i="20"/>
  <c r="HO13" i="20"/>
  <c r="HN13" i="20"/>
  <c r="HM13" i="20"/>
  <c r="HL13" i="20"/>
  <c r="HK13" i="20"/>
  <c r="HJ13" i="20"/>
  <c r="HI13" i="20"/>
  <c r="HH13" i="20"/>
  <c r="HG13" i="20"/>
  <c r="HF13" i="20"/>
  <c r="HE13" i="20"/>
  <c r="HD13" i="20"/>
  <c r="HC13" i="20"/>
  <c r="HB13" i="20"/>
  <c r="HA13" i="20"/>
  <c r="GZ13" i="20"/>
  <c r="GY13" i="20"/>
  <c r="GX13" i="20"/>
  <c r="GW13" i="20"/>
  <c r="GT13" i="20"/>
  <c r="GS13" i="20"/>
  <c r="GR13" i="20"/>
  <c r="GQ13" i="20"/>
  <c r="GP13" i="20"/>
  <c r="GO13" i="20"/>
  <c r="GN13" i="20"/>
  <c r="GM13" i="20"/>
  <c r="CT13" i="20"/>
  <c r="CS13" i="20"/>
  <c r="CR13" i="20"/>
  <c r="CQ13" i="20"/>
  <c r="CP13" i="20"/>
  <c r="CO13" i="20"/>
  <c r="CN13" i="20"/>
  <c r="CM13" i="20"/>
  <c r="CL13" i="20"/>
  <c r="CK13" i="20"/>
  <c r="CJ13" i="20"/>
  <c r="CI13" i="20"/>
  <c r="CH13" i="20"/>
  <c r="CG13" i="20"/>
  <c r="CF13" i="20"/>
  <c r="CE13" i="20"/>
  <c r="CD13" i="20"/>
  <c r="CC13" i="20"/>
  <c r="CB13" i="20"/>
  <c r="CA13" i="20"/>
  <c r="BZ13" i="20"/>
  <c r="BY13" i="20"/>
  <c r="BX13" i="20"/>
  <c r="UG13" i="20"/>
  <c r="UF13" i="20"/>
  <c r="UE13" i="20"/>
  <c r="UD13" i="20"/>
  <c r="UC13" i="20"/>
  <c r="UA13" i="20"/>
  <c r="TY13" i="20"/>
  <c r="TX13" i="20"/>
  <c r="TW13" i="20"/>
  <c r="TV13" i="20"/>
  <c r="TU13" i="20"/>
  <c r="TS13" i="20"/>
  <c r="TQ13" i="20"/>
  <c r="TP13" i="20"/>
  <c r="TO13" i="20"/>
  <c r="TN13" i="20"/>
  <c r="TM13" i="20"/>
  <c r="TK13" i="20"/>
  <c r="SK13" i="20"/>
  <c r="SJ13" i="20"/>
  <c r="SI13" i="20"/>
  <c r="SH13" i="20"/>
  <c r="SG13" i="20"/>
  <c r="SE13" i="20"/>
  <c r="SC13" i="20"/>
  <c r="SB13" i="20"/>
  <c r="SA13" i="20"/>
  <c r="RZ13" i="20"/>
  <c r="RY13" i="20"/>
  <c r="RW13" i="20"/>
  <c r="RU13" i="20"/>
  <c r="RT13" i="20"/>
  <c r="RS13" i="20"/>
  <c r="RR13" i="20"/>
  <c r="RQ13" i="20"/>
  <c r="RO13" i="20"/>
  <c r="RM13" i="20"/>
  <c r="RL13" i="20"/>
  <c r="RK13" i="20"/>
  <c r="RJ13" i="20"/>
  <c r="RI13" i="20"/>
  <c r="RG13" i="20"/>
  <c r="RE13" i="20"/>
  <c r="RD13" i="20"/>
  <c r="RC13" i="20"/>
  <c r="RB13" i="20"/>
  <c r="RA13" i="20"/>
  <c r="QY13" i="20"/>
  <c r="QW13" i="20"/>
  <c r="QV13" i="20"/>
  <c r="QU13" i="20"/>
  <c r="QT13" i="20"/>
  <c r="QS13" i="20"/>
  <c r="QQ13" i="20"/>
  <c r="AAS13" i="20"/>
  <c r="AAR13" i="20"/>
  <c r="AAQ13" i="20"/>
  <c r="AAP13" i="20"/>
  <c r="AAO13" i="20"/>
  <c r="AAN13" i="20"/>
  <c r="AAM13" i="20"/>
  <c r="AAB13" i="20"/>
  <c r="AAA13" i="20"/>
  <c r="ZZ13" i="20"/>
  <c r="ZY13" i="20"/>
  <c r="ZX13" i="20"/>
  <c r="ZW13" i="20"/>
  <c r="ZV13" i="20"/>
  <c r="ZU13" i="20"/>
  <c r="ZT13" i="20"/>
  <c r="ZS13" i="20"/>
  <c r="ZR13" i="20"/>
  <c r="ZQ13" i="20"/>
  <c r="ZP13" i="20"/>
  <c r="ZO13" i="20"/>
  <c r="ZG13" i="20"/>
  <c r="ZD13" i="20"/>
  <c r="ZC13" i="20"/>
  <c r="ZB13" i="20"/>
  <c r="ZA13" i="20"/>
  <c r="YZ13" i="20"/>
  <c r="YY13" i="20"/>
  <c r="YX13" i="20"/>
  <c r="YW13" i="20"/>
  <c r="YV13" i="20"/>
  <c r="YU13" i="20"/>
  <c r="YT13" i="20"/>
  <c r="YS13" i="20"/>
  <c r="YR13" i="20"/>
  <c r="YQ13" i="20"/>
  <c r="YL13" i="20"/>
  <c r="YK13" i="20"/>
  <c r="YH13" i="20"/>
  <c r="YG13" i="20"/>
  <c r="YF13" i="20"/>
  <c r="YE13" i="20"/>
  <c r="YD13" i="20"/>
  <c r="YC13" i="20"/>
  <c r="YB13" i="20"/>
  <c r="YA13" i="20"/>
  <c r="XZ13" i="20"/>
  <c r="XY13" i="20"/>
  <c r="XX13" i="20"/>
  <c r="XW13" i="20"/>
  <c r="XV13" i="20"/>
  <c r="XU13" i="20"/>
  <c r="XT13" i="20"/>
  <c r="XS13" i="20"/>
  <c r="XQ13" i="20"/>
  <c r="XP13" i="20"/>
  <c r="XO13" i="20"/>
  <c r="XN13" i="20"/>
  <c r="XM13" i="20"/>
  <c r="XL13" i="20"/>
  <c r="XK13" i="20"/>
  <c r="XJ13" i="20"/>
  <c r="XI13" i="20"/>
  <c r="XH13" i="20"/>
  <c r="XG13" i="20"/>
  <c r="XF13" i="20"/>
  <c r="XE13" i="20"/>
  <c r="XD13" i="20"/>
  <c r="XC13" i="20"/>
  <c r="XB13" i="20"/>
  <c r="XA13" i="20"/>
  <c r="WZ13" i="20"/>
  <c r="WY13" i="20"/>
  <c r="WX13" i="20"/>
  <c r="WW13" i="20"/>
  <c r="WV13" i="20"/>
  <c r="WU13" i="20"/>
  <c r="WT13" i="20"/>
  <c r="WS13" i="20"/>
  <c r="WR13" i="20"/>
  <c r="WQ13" i="20"/>
  <c r="WP13" i="20"/>
  <c r="WO13" i="20"/>
  <c r="WN13" i="20"/>
  <c r="WM13" i="20"/>
  <c r="WL13" i="20"/>
  <c r="WK13" i="20"/>
  <c r="WJ13" i="20"/>
  <c r="WI13" i="20"/>
  <c r="WH13" i="20"/>
  <c r="WG13" i="20"/>
  <c r="WF13" i="20"/>
  <c r="WE13" i="20"/>
  <c r="WD13" i="20"/>
  <c r="WC13" i="20"/>
  <c r="WB13" i="20"/>
  <c r="WA13" i="20"/>
  <c r="VZ13" i="20"/>
  <c r="VY13" i="20"/>
  <c r="VX13" i="20"/>
  <c r="VW13" i="20"/>
  <c r="VV13" i="20"/>
  <c r="VU13" i="20"/>
  <c r="VT13" i="20"/>
  <c r="VS13" i="20"/>
  <c r="VR13" i="20"/>
  <c r="VQ13" i="20"/>
  <c r="VP13" i="20"/>
  <c r="VO13" i="20"/>
  <c r="VN13" i="20"/>
  <c r="VM13" i="20"/>
  <c r="VL13" i="20"/>
  <c r="VK13" i="20"/>
  <c r="VJ13" i="20"/>
  <c r="VI13" i="20"/>
  <c r="VH13" i="20"/>
  <c r="VG13" i="20"/>
  <c r="VE13" i="20"/>
  <c r="VD13" i="20"/>
  <c r="VB13" i="20"/>
  <c r="UY13" i="20"/>
  <c r="UW13" i="20"/>
  <c r="UV13" i="20"/>
  <c r="UT13" i="20"/>
  <c r="UQ13" i="20"/>
  <c r="UO13" i="20"/>
  <c r="UN13" i="20"/>
  <c r="UL13" i="20"/>
  <c r="UI13" i="20"/>
  <c r="PR13" i="20"/>
  <c r="PP13" i="20"/>
  <c r="PN13" i="20"/>
  <c r="PL13" i="20"/>
  <c r="PJ13" i="20"/>
  <c r="PH13" i="20"/>
  <c r="PF13" i="20"/>
  <c r="PD13" i="20"/>
  <c r="PB13" i="20"/>
  <c r="OZ13" i="20"/>
  <c r="OX13" i="20"/>
  <c r="OV13" i="20"/>
  <c r="OT13" i="20"/>
  <c r="OR13" i="20"/>
  <c r="OP13" i="20"/>
  <c r="ON13" i="20"/>
  <c r="OL13" i="20"/>
  <c r="OJ13" i="20"/>
  <c r="OH13" i="20"/>
  <c r="OF13" i="20"/>
  <c r="OD13" i="20"/>
  <c r="OB13" i="20"/>
  <c r="NZ13" i="20"/>
  <c r="NX13" i="20"/>
  <c r="NV13" i="20"/>
  <c r="NT13" i="20"/>
  <c r="NR13" i="20"/>
  <c r="NP13" i="20"/>
  <c r="NN13" i="20"/>
  <c r="NL13" i="20"/>
  <c r="NJ13" i="20"/>
  <c r="NH13" i="20"/>
  <c r="NF13" i="20"/>
  <c r="ND13" i="20"/>
  <c r="NB13" i="20"/>
  <c r="MZ13" i="20"/>
  <c r="TI13" i="20"/>
  <c r="TH13" i="20"/>
  <c r="TF13" i="20"/>
  <c r="TC13" i="20"/>
  <c r="TA13" i="20"/>
  <c r="SZ13" i="20"/>
  <c r="SX13" i="20"/>
  <c r="SU13" i="20"/>
  <c r="SS13" i="20"/>
  <c r="SR13" i="20"/>
  <c r="SP13" i="20"/>
  <c r="SM13" i="20"/>
  <c r="LM13" i="20"/>
  <c r="KO13" i="20"/>
  <c r="ACP13" i="20"/>
  <c r="ACN13" i="20"/>
  <c r="ACM13" i="20"/>
  <c r="ACL13" i="20"/>
  <c r="ACK13" i="20"/>
  <c r="ACJ13" i="20"/>
  <c r="ACH13" i="20"/>
  <c r="ACF13" i="20"/>
  <c r="ACE13" i="20"/>
  <c r="ACD13" i="20"/>
  <c r="ACC13" i="20"/>
  <c r="ACB13" i="20"/>
  <c r="ABZ13" i="20"/>
  <c r="ABX13" i="20"/>
  <c r="ABW13" i="20"/>
  <c r="ABV13" i="20"/>
  <c r="ABU13" i="20"/>
  <c r="ABT13" i="20"/>
  <c r="ABR13" i="20"/>
  <c r="ABP13" i="20"/>
  <c r="ABO13" i="20"/>
  <c r="ABN13" i="20"/>
  <c r="ABM13" i="20"/>
  <c r="ABL13" i="20"/>
  <c r="ABJ13" i="20"/>
  <c r="ABH13" i="20"/>
  <c r="ABG13" i="20"/>
  <c r="ABF13" i="20"/>
  <c r="ABE13" i="20"/>
  <c r="ABD13" i="20"/>
  <c r="ABB13" i="20"/>
  <c r="AAZ13" i="20"/>
  <c r="AAY13" i="20"/>
  <c r="AAX13" i="20"/>
  <c r="AAW13" i="20"/>
  <c r="AAV13" i="20"/>
  <c r="AAL13" i="20"/>
  <c r="AAJ13" i="20"/>
  <c r="AAI13" i="20"/>
  <c r="AAH13" i="20"/>
  <c r="AAG13" i="20"/>
  <c r="AAF13" i="20"/>
  <c r="AAD13" i="20"/>
  <c r="ZN13" i="20"/>
  <c r="ZM13" i="20"/>
  <c r="ZL13" i="20"/>
  <c r="ZK13" i="20"/>
  <c r="ZJ13" i="20"/>
  <c r="ZI13" i="20"/>
  <c r="ZH13" i="20"/>
  <c r="ZF13" i="20"/>
  <c r="ZE13" i="20"/>
  <c r="YP13" i="20"/>
  <c r="YN13" i="20"/>
  <c r="YM13" i="20"/>
  <c r="YJ13" i="20"/>
  <c r="YI13" i="20"/>
  <c r="QO13" i="20"/>
  <c r="QN13" i="20"/>
  <c r="QL13" i="20"/>
  <c r="QI13" i="20"/>
  <c r="QG13" i="20"/>
  <c r="QF13" i="20"/>
  <c r="QD13" i="20"/>
  <c r="QA13" i="20"/>
  <c r="PY13" i="20"/>
  <c r="PX13" i="20"/>
  <c r="PV13" i="20"/>
  <c r="PS13" i="20"/>
  <c r="MU13" i="20"/>
  <c r="ML13" i="20"/>
  <c r="MI13" i="20"/>
  <c r="LU13" i="20"/>
  <c r="LN13" i="20"/>
  <c r="KM13" i="20"/>
  <c r="JP13" i="20"/>
  <c r="JO13" i="20"/>
  <c r="IU13" i="20"/>
  <c r="IR13" i="20"/>
  <c r="HV13" i="20"/>
  <c r="HU13" i="20"/>
  <c r="HS13" i="20"/>
  <c r="GL13" i="20"/>
  <c r="GJ13" i="20"/>
  <c r="GI13" i="20"/>
  <c r="GG13" i="20"/>
  <c r="GD13" i="20"/>
  <c r="GB13" i="20"/>
  <c r="GA13" i="20"/>
  <c r="FY13" i="20"/>
  <c r="FV13" i="20"/>
  <c r="FT13" i="20"/>
  <c r="FS13" i="20"/>
  <c r="FQ13" i="20"/>
  <c r="FN13" i="20"/>
  <c r="FL13" i="20"/>
  <c r="FK13" i="20"/>
  <c r="FI13" i="20"/>
  <c r="FF13" i="20"/>
  <c r="FD13" i="20"/>
  <c r="FC13" i="20"/>
  <c r="FA13" i="20"/>
  <c r="EX13" i="20"/>
  <c r="EV13" i="20"/>
  <c r="EU13" i="20"/>
  <c r="ES13" i="20"/>
  <c r="EP13" i="20"/>
  <c r="EN13" i="20"/>
  <c r="EM13" i="20"/>
  <c r="EK13" i="20"/>
  <c r="EH13" i="20"/>
  <c r="EF13" i="20"/>
  <c r="EE13" i="20"/>
  <c r="EC13" i="20"/>
  <c r="DZ13" i="20"/>
  <c r="DX13" i="20"/>
  <c r="DW13" i="20"/>
  <c r="DU13" i="20"/>
  <c r="DR13" i="20"/>
  <c r="DP13" i="20"/>
  <c r="DM13" i="20"/>
  <c r="DJ13" i="20"/>
  <c r="DH13" i="20"/>
  <c r="DE13" i="20"/>
  <c r="DB13" i="20"/>
  <c r="CZ13" i="20"/>
  <c r="CW13" i="20"/>
  <c r="BW13" i="20"/>
  <c r="BV13" i="20"/>
  <c r="BU13" i="20"/>
  <c r="BT13" i="20"/>
  <c r="BO13" i="20"/>
  <c r="BN13" i="20"/>
  <c r="BM13" i="20"/>
  <c r="BL13" i="20"/>
  <c r="BG13" i="20"/>
  <c r="BF13" i="20"/>
  <c r="BE13" i="20"/>
  <c r="BD13" i="20"/>
  <c r="BA13" i="20"/>
  <c r="AY13" i="20"/>
  <c r="AX13" i="20"/>
  <c r="AW13" i="20"/>
  <c r="AV13" i="20"/>
  <c r="AS13" i="20"/>
  <c r="AQ13" i="20"/>
  <c r="AP13" i="20"/>
  <c r="AO13" i="20"/>
  <c r="AN13" i="20"/>
  <c r="AK13" i="20"/>
  <c r="AI13" i="20"/>
  <c r="AH13" i="20"/>
  <c r="AG13" i="20"/>
  <c r="AF13" i="20"/>
  <c r="AC13" i="20"/>
  <c r="AA13" i="20"/>
  <c r="Z13" i="20"/>
  <c r="Y13" i="20"/>
  <c r="X13" i="20"/>
  <c r="U13" i="20"/>
  <c r="S13" i="20"/>
  <c r="R13" i="20"/>
  <c r="Q13" i="20"/>
  <c r="P13" i="20"/>
  <c r="M13" i="20"/>
  <c r="K13" i="20"/>
  <c r="J13" i="20"/>
  <c r="I13" i="20"/>
  <c r="H13" i="20"/>
  <c r="DC13" i="20" l="1"/>
  <c r="EI13" i="20"/>
  <c r="FO13" i="20"/>
  <c r="PT13" i="20"/>
  <c r="QB13" i="20"/>
  <c r="QJ13" i="20"/>
  <c r="AAE13" i="20"/>
  <c r="AAU13" i="20"/>
  <c r="ABC13" i="20"/>
  <c r="ABK13" i="20"/>
  <c r="ABS13" i="20"/>
  <c r="ACA13" i="20"/>
  <c r="ACI13" i="20"/>
  <c r="IS13" i="20"/>
  <c r="MK13" i="20"/>
  <c r="SQ13" i="20"/>
  <c r="SY13" i="20"/>
  <c r="TG13" i="20"/>
  <c r="MY13" i="20"/>
  <c r="NG13" i="20"/>
  <c r="NO13" i="20"/>
  <c r="NW13" i="20"/>
  <c r="OE13" i="20"/>
  <c r="OM13" i="20"/>
  <c r="OU13" i="20"/>
  <c r="PC13" i="20"/>
  <c r="PK13" i="20"/>
  <c r="UJ13" i="20"/>
  <c r="UR13" i="20"/>
  <c r="UZ13" i="20"/>
  <c r="CU13" i="20"/>
  <c r="EA13" i="20"/>
  <c r="FG13" i="20"/>
  <c r="GE13" i="20"/>
  <c r="KN13" i="20"/>
  <c r="DK13" i="20"/>
  <c r="EQ13" i="20"/>
  <c r="GU13" i="20"/>
  <c r="F13" i="20"/>
  <c r="V13" i="20"/>
  <c r="AL13" i="20"/>
  <c r="BB13" i="20"/>
  <c r="BR13" i="20"/>
  <c r="DS13" i="20"/>
  <c r="EY13" i="20"/>
  <c r="FW13" i="20"/>
  <c r="N13" i="20"/>
  <c r="AD13" i="20"/>
  <c r="AT13" i="20"/>
  <c r="BJ13" i="20"/>
  <c r="IV13" i="20"/>
  <c r="W13" i="20"/>
  <c r="AE13" i="20"/>
  <c r="AM13" i="20"/>
  <c r="AU13" i="20"/>
  <c r="BC13" i="20"/>
  <c r="BK13" i="20"/>
  <c r="BS13" i="20"/>
  <c r="CX13" i="20"/>
  <c r="DF13" i="20"/>
  <c r="DN13" i="20"/>
  <c r="DV13" i="20"/>
  <c r="ED13" i="20"/>
  <c r="EL13" i="20"/>
  <c r="ET13" i="20"/>
  <c r="FB13" i="20"/>
  <c r="FJ13" i="20"/>
  <c r="FR13" i="20"/>
  <c r="FZ13" i="20"/>
  <c r="GH13" i="20"/>
  <c r="HT13" i="20"/>
  <c r="MJ13" i="20"/>
  <c r="PW13" i="20"/>
  <c r="QE13" i="20"/>
  <c r="QM13" i="20"/>
  <c r="UM13" i="20"/>
  <c r="UU13" i="20"/>
  <c r="VC13" i="20"/>
  <c r="CY13" i="20"/>
  <c r="DG13" i="20"/>
  <c r="DO13" i="20"/>
  <c r="KV13" i="20"/>
  <c r="NC13" i="20"/>
  <c r="NK13" i="20"/>
  <c r="NS13" i="20"/>
  <c r="OA13" i="20"/>
  <c r="OI13" i="20"/>
  <c r="OQ13" i="20"/>
  <c r="OY13" i="20"/>
  <c r="PG13" i="20"/>
  <c r="PO13" i="20"/>
  <c r="QR13" i="20"/>
  <c r="QZ13" i="20"/>
  <c r="RH13" i="20"/>
  <c r="RP13" i="20"/>
  <c r="RX13" i="20"/>
  <c r="SF13" i="20"/>
  <c r="TL13" i="20"/>
  <c r="TT13" i="20"/>
  <c r="UB13" i="20"/>
  <c r="JR13" i="20"/>
  <c r="LK13" i="20"/>
  <c r="SN13" i="20"/>
  <c r="SV13" i="20"/>
  <c r="TD13" i="20"/>
  <c r="JV13" i="20"/>
  <c r="PZ13" i="20"/>
  <c r="QH13" i="20"/>
  <c r="QP13" i="20"/>
  <c r="QX13" i="20"/>
  <c r="RN13" i="20"/>
  <c r="RV13" i="20"/>
  <c r="SD13" i="20"/>
  <c r="SL13" i="20"/>
  <c r="ST13" i="20"/>
  <c r="TB13" i="20"/>
  <c r="TJ13" i="20"/>
  <c r="TR13" i="20"/>
  <c r="TZ13" i="20"/>
  <c r="UH13" i="20"/>
  <c r="UP13" i="20"/>
  <c r="UX13" i="20"/>
  <c r="VF13" i="20"/>
  <c r="JU13" i="20"/>
  <c r="MV13" i="20"/>
  <c r="DI13" i="20"/>
  <c r="EG13" i="20"/>
  <c r="FM13" i="20"/>
  <c r="GK13" i="20"/>
  <c r="LL13" i="20"/>
  <c r="AAK13" i="20"/>
  <c r="ABI13" i="20"/>
  <c r="ACG13" i="20"/>
  <c r="SW13" i="20"/>
  <c r="NE13" i="20"/>
  <c r="NM13" i="20"/>
  <c r="NU13" i="20"/>
  <c r="OC13" i="20"/>
  <c r="OK13" i="20"/>
  <c r="OS13" i="20"/>
  <c r="PA13" i="20"/>
  <c r="PQ13" i="20"/>
  <c r="DQ13" i="20"/>
  <c r="EO13" i="20"/>
  <c r="FE13" i="20"/>
  <c r="GC13" i="20"/>
  <c r="ABY13" i="20"/>
  <c r="SO13" i="20"/>
  <c r="DA13" i="20"/>
  <c r="DY13" i="20"/>
  <c r="EW13" i="20"/>
  <c r="FU13" i="20"/>
  <c r="IQ13" i="20"/>
  <c r="AAC13" i="20"/>
  <c r="ABA13" i="20"/>
  <c r="ABQ13" i="20"/>
  <c r="ACO13" i="20"/>
  <c r="JQ13" i="20"/>
  <c r="TE13" i="20"/>
  <c r="PI13" i="20"/>
  <c r="D13" i="20"/>
  <c r="L13" i="20"/>
  <c r="T13" i="20"/>
  <c r="AB13" i="20"/>
  <c r="AJ13" i="20"/>
  <c r="AR13" i="20"/>
  <c r="AZ13" i="20"/>
  <c r="BH13" i="20"/>
  <c r="BP13" i="20"/>
  <c r="IT13" i="20"/>
  <c r="E13" i="20"/>
  <c r="BI13" i="20"/>
  <c r="BQ13" i="20"/>
  <c r="CV13" i="20"/>
  <c r="DD13" i="20"/>
  <c r="DL13" i="20"/>
  <c r="DT13" i="20"/>
  <c r="EB13" i="20"/>
  <c r="EJ13" i="20"/>
  <c r="ER13" i="20"/>
  <c r="EZ13" i="20"/>
  <c r="FH13" i="20"/>
  <c r="FP13" i="20"/>
  <c r="FX13" i="20"/>
  <c r="GF13" i="20"/>
  <c r="GV13" i="20"/>
  <c r="LV13" i="20"/>
  <c r="PU13" i="20"/>
  <c r="QC13" i="20"/>
  <c r="QK13" i="20"/>
  <c r="UK13" i="20"/>
  <c r="US13" i="20"/>
  <c r="VA13" i="20"/>
  <c r="KP13" i="20"/>
  <c r="NA13" i="20"/>
  <c r="NI13" i="20"/>
  <c r="NQ13" i="20"/>
  <c r="NY13" i="20"/>
  <c r="OG13" i="20"/>
  <c r="OO13" i="20"/>
  <c r="OW13" i="20"/>
  <c r="PE13" i="20"/>
  <c r="PM13" i="20"/>
  <c r="G13" i="20"/>
  <c r="O13" i="20"/>
  <c r="KU13" i="20"/>
  <c r="YO13" i="20"/>
  <c r="R6" i="15" l="1"/>
  <c r="N6" i="15"/>
  <c r="J6" i="15"/>
  <c r="T7" i="12" l="1"/>
  <c r="W7" i="12"/>
  <c r="V7" i="12"/>
  <c r="U7" i="12"/>
  <c r="F21" i="12" l="1"/>
  <c r="F22" i="12"/>
  <c r="T6" i="12"/>
  <c r="V6" i="12"/>
  <c r="W6" i="12"/>
  <c r="U6" i="12"/>
  <c r="BS12" i="12" l="1"/>
  <c r="BW12" i="12"/>
  <c r="BS14" i="12"/>
  <c r="BS13" i="12"/>
  <c r="BO14" i="12"/>
  <c r="BO13" i="12"/>
  <c r="BO12" i="12"/>
  <c r="BC13" i="12" l="1"/>
  <c r="BK13" i="12"/>
  <c r="BC14" i="12"/>
  <c r="BC12" i="12"/>
  <c r="BC11" i="12"/>
  <c r="BG13" i="12"/>
  <c r="BG12" i="12"/>
  <c r="BG14" i="12"/>
  <c r="BW14" i="12"/>
  <c r="BO11" i="12"/>
  <c r="R15" i="12"/>
  <c r="BW13" i="12"/>
  <c r="R8" i="12" l="1"/>
  <c r="BK14" i="12"/>
  <c r="BK12" i="12"/>
  <c r="R10" i="12" l="1"/>
  <c r="BG11" i="12"/>
  <c r="BK11" i="12"/>
  <c r="R13" i="12"/>
  <c r="BW11" i="12" l="1"/>
  <c r="R17" i="12"/>
  <c r="BS11" i="12"/>
  <c r="R1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Zonamedica</author>
    <author>Michael Ruiz</author>
    <author>Usuario Meridian 2073</author>
    <author>tc={02FA2668-A42A-4EFE-B626-F0A1EFB2CFBA}</author>
  </authors>
  <commentList>
    <comment ref="AM3" authorId="0" shapeId="0" xr:uid="{00000000-0006-0000-0100-000001000000}">
      <text>
        <r>
          <rPr>
            <sz val="9"/>
            <color indexed="81"/>
            <rFont val="Tahoma"/>
            <family val="2"/>
          </rPr>
          <t>Los Recursos pueden ser Recursos Humanos, Tecnológicos, financieros, maquinas y equipos, Etc...</t>
        </r>
      </text>
    </comment>
    <comment ref="AN3" authorId="0" shapeId="0" xr:uid="{00000000-0006-0000-0100-000002000000}">
      <text>
        <r>
          <rPr>
            <sz val="9"/>
            <color indexed="81"/>
            <rFont val="Tahoma"/>
            <family val="2"/>
          </rPr>
          <t xml:space="preserve">Los Recursos pueden ser Recursos Humanos, Tecnológicos, financieros, maquinas y equipos, Etc...
</t>
        </r>
      </text>
    </comment>
    <comment ref="J20" authorId="1" shapeId="0" xr:uid="{00000000-0006-0000-0100-000003000000}">
      <text>
        <r>
          <rPr>
            <b/>
            <sz val="9"/>
            <color indexed="81"/>
            <rFont val="Tahoma"/>
            <family val="2"/>
          </rPr>
          <t xml:space="preserve">Michael Ruiz:
</t>
        </r>
        <r>
          <rPr>
            <sz val="9"/>
            <color indexed="81"/>
            <rFont val="Tahoma"/>
            <family val="2"/>
          </rPr>
          <t>Maria del Pilar Gomez</t>
        </r>
      </text>
    </comment>
    <comment ref="L20" authorId="2" shapeId="0" xr:uid="{00000000-0006-0000-0100-000004000000}">
      <text>
        <r>
          <rPr>
            <b/>
            <sz val="9"/>
            <color indexed="81"/>
            <rFont val="Tahoma"/>
            <family val="2"/>
          </rPr>
          <t>Usuario Meridian 2073:</t>
        </r>
        <r>
          <rPr>
            <sz val="9"/>
            <color indexed="81"/>
            <rFont val="Tahoma"/>
            <family val="2"/>
          </rPr>
          <t xml:space="preserve">
Lady Orozco
Farley Garcia
Samuel Naranjo
Luis Parra</t>
        </r>
      </text>
    </comment>
    <comment ref="L21" authorId="2" shapeId="0" xr:uid="{00000000-0006-0000-0100-000005000000}">
      <text>
        <r>
          <rPr>
            <b/>
            <sz val="9"/>
            <color indexed="81"/>
            <rFont val="Tahoma"/>
            <family val="2"/>
          </rPr>
          <t>Usuario Meridian 2073:</t>
        </r>
        <r>
          <rPr>
            <sz val="9"/>
            <color indexed="81"/>
            <rFont val="Tahoma"/>
            <family val="2"/>
          </rPr>
          <t xml:space="preserve">
Farley Garcia
Oswaldo Silva
Lady Orozco
Oscar Piragua</t>
        </r>
      </text>
    </comment>
    <comment ref="N21" authorId="2" shapeId="0" xr:uid="{00000000-0006-0000-0100-000006000000}">
      <text>
        <r>
          <rPr>
            <b/>
            <sz val="9"/>
            <color indexed="81"/>
            <rFont val="Tahoma"/>
            <family val="2"/>
          </rPr>
          <t>Usuario Meridian 2073:</t>
        </r>
        <r>
          <rPr>
            <sz val="9"/>
            <color indexed="81"/>
            <rFont val="Tahoma"/>
            <family val="2"/>
          </rPr>
          <t xml:space="preserve">
Samuel Naranjo</t>
        </r>
      </text>
    </comment>
    <comment ref="J22" authorId="1" shapeId="0" xr:uid="{00000000-0006-0000-0100-000007000000}">
      <text>
        <r>
          <rPr>
            <b/>
            <sz val="9"/>
            <color indexed="81"/>
            <rFont val="Tahoma"/>
            <family val="2"/>
          </rPr>
          <t>Michael Ruiz:</t>
        </r>
        <r>
          <rPr>
            <sz val="9"/>
            <color indexed="81"/>
            <rFont val="Tahoma"/>
            <family val="2"/>
          </rPr>
          <t xml:space="preserve">
Maria del Pilar Gomez</t>
        </r>
      </text>
    </comment>
    <comment ref="L22" authorId="2" shapeId="0" xr:uid="{00000000-0006-0000-0100-000008000000}">
      <text>
        <r>
          <rPr>
            <b/>
            <sz val="9"/>
            <color indexed="81"/>
            <rFont val="Tahoma"/>
            <family val="2"/>
          </rPr>
          <t xml:space="preserve">Usuario Meridian 2073:
</t>
        </r>
        <r>
          <rPr>
            <sz val="9"/>
            <color indexed="81"/>
            <rFont val="Tahoma"/>
            <family val="2"/>
          </rPr>
          <t>Farley Garcia
Oswaldo Silva
Oscar Piragua</t>
        </r>
      </text>
    </comment>
    <comment ref="N22" authorId="2" shapeId="0" xr:uid="{00000000-0006-0000-0100-000009000000}">
      <text>
        <r>
          <rPr>
            <b/>
            <sz val="9"/>
            <color indexed="81"/>
            <rFont val="Tahoma"/>
            <family val="2"/>
          </rPr>
          <t>Usuario Meridian 2073:</t>
        </r>
        <r>
          <rPr>
            <sz val="9"/>
            <color indexed="81"/>
            <rFont val="Tahoma"/>
            <family val="2"/>
          </rPr>
          <t xml:space="preserve">
Alberto Amaya
Gilberto Rubiano</t>
        </r>
      </text>
    </comment>
    <comment ref="L23" authorId="2" shapeId="0" xr:uid="{00000000-0006-0000-0100-00000A000000}">
      <text>
        <r>
          <rPr>
            <b/>
            <sz val="9"/>
            <color indexed="81"/>
            <rFont val="Tahoma"/>
            <family val="2"/>
          </rPr>
          <t>Usuario Meridian 2073:</t>
        </r>
        <r>
          <rPr>
            <sz val="9"/>
            <color indexed="81"/>
            <rFont val="Tahoma"/>
            <family val="2"/>
          </rPr>
          <t xml:space="preserve">
Alberto Amaya
Andres Corredor
Daniel Celma
Farley Garcia
Flavia Perez
Julian Nieto
Oswaldo Silva
Oscar Piragua
Miguel Velasquez</t>
        </r>
      </text>
    </comment>
    <comment ref="P23" authorId="3" shapeId="0" xr:uid="{00000000-0006-0000-0100-00000B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Alvaro Rivera
Andres Rios
Lady Orozco
Silvia Flechetcher
Carlos Gomez
Juan Guerrero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tc={AD2C0A3D-70E2-421D-893C-D062DB76B76B}</author>
    <author>tc={26AF3A07-6718-40DC-8458-0509346FB5D7}</author>
    <author>tc={45E6C211-5004-4566-8621-9AF0FAF86E4F}</author>
  </authors>
  <commentList>
    <comment ref="H19" authorId="0" shapeId="0" xr:uid="{00000000-0006-0000-03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Empresa</t>
      </text>
    </comment>
    <comment ref="I19" authorId="1" shapeId="0" xr:uid="{26AF3A07-6718-40DC-8458-0509346FB5D7}">
      <text>
        <t>[Comentario encadenado]
Su versión de Excel le permite leer este comentario encadenado; sin embargo, las ediciones que se apliquen se quitarán si el archivo se abre en una versión más reciente de Excel. Más información: https://go.microsoft.com/fwlink/?linkid=870924
Comentario:
    Inactivo desde el 27/07</t>
      </text>
    </comment>
    <comment ref="H61" authorId="2" shapeId="0" xr:uid="{00000000-0006-0000-03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Empresa</t>
      </text>
    </comment>
  </commentList>
</comments>
</file>

<file path=xl/sharedStrings.xml><?xml version="1.0" encoding="utf-8"?>
<sst xmlns="http://schemas.openxmlformats.org/spreadsheetml/2006/main" count="4758" uniqueCount="401">
  <si>
    <t>PROGRAMA DE CAPACITACIÓN Y ENTRENAMIENTO ANUAL</t>
  </si>
  <si>
    <t>ITEM</t>
  </si>
  <si>
    <t>GRUPO</t>
  </si>
  <si>
    <t>TEMA</t>
  </si>
  <si>
    <t>DEDICACIÓN ESTIMADA
(Horas)</t>
  </si>
  <si>
    <t>OBJETIVO</t>
  </si>
  <si>
    <t>METODOLOGIA</t>
  </si>
  <si>
    <t>ENE</t>
  </si>
  <si>
    <t>FEB</t>
  </si>
  <si>
    <t>MAR</t>
  </si>
  <si>
    <t>ABR</t>
  </si>
  <si>
    <t>MAY</t>
  </si>
  <si>
    <t>JUN</t>
  </si>
  <si>
    <t>JUL</t>
  </si>
  <si>
    <t>SEP</t>
  </si>
  <si>
    <t>OCT</t>
  </si>
  <si>
    <t>NOV</t>
  </si>
  <si>
    <t>DIC</t>
  </si>
  <si>
    <t>RECURSOS PRESUPUESTADOS</t>
  </si>
  <si>
    <t>RECURSOS UTILIZADOS</t>
  </si>
  <si>
    <t>RESPONSABLE</t>
  </si>
  <si>
    <t>P</t>
  </si>
  <si>
    <t>E</t>
  </si>
  <si>
    <t>ADMON</t>
  </si>
  <si>
    <t>HSEQ</t>
  </si>
  <si>
    <t>PROGRAMADO</t>
  </si>
  <si>
    <t>EJECUTADO</t>
  </si>
  <si>
    <t>A</t>
  </si>
  <si>
    <t>X</t>
  </si>
  <si>
    <t>Creación Programa de Capacitación</t>
  </si>
  <si>
    <t>N/A</t>
  </si>
  <si>
    <t>Establecer mecanismos para la ejecución y seguimiento adecuado del programa de capacitación de Meridian Consulting Ltda.</t>
  </si>
  <si>
    <t>Computador, Instalaciones de la empresa.</t>
  </si>
  <si>
    <t>Coordinador HSEQ</t>
  </si>
  <si>
    <t>B</t>
  </si>
  <si>
    <t>Creación Contenido Virtual Meridian</t>
  </si>
  <si>
    <t>C</t>
  </si>
  <si>
    <t>Seguimiento y Analisis del Programa</t>
  </si>
  <si>
    <t>D</t>
  </si>
  <si>
    <t>Revisión y Actualización de Procedimiento de Capacitación</t>
  </si>
  <si>
    <t>Inducción y/o Reinducción HSEQ</t>
  </si>
  <si>
    <t>Alcance sistema de Gestión Integrado              
Política Corporativa HSEQ              
Política para la prevención de consumo de Alcohol Drogas y Tabaco              
Política Corporativa de Seguridad Vial              
Política de Corporativa de Responsabilidad Social              
Políticas del cliente              
Objetivos HSEQ              
Reglamento de Higiene y Seguridad Industrial              
COPASST - Integrantes y Funciones              
Comité de Convivencia - Integrantes y Funciones              
Plan de preparación y respuesta ante emergencias (SSTA)              
Factores de riesgos  y peligros en SST              
Programa(s) de Gestión de riesgos críticos y Programa(s) de Vigilancia Epidemiológica              
Riesgos de salud publica de la región donde labora el trabajador              
Ergonomía en el puesto de trabajo              
Aspectos e impactos ambientales inherentes al cargos y sus controles              
Riesgos y controles del proceso o proyecto              
Gestión del cambio              
Lecciones aprendidas              
Procedimiento de reporte e Investigación de Incidentes/accidentes              
Procedimiento control de documentos, control de registros              
Reporte de actos y Condiciones Inseguras              
Sistema de riesgos laborales ARL              
Procedimiento acciones Correctivas, Preventivas y de Mejora.              
Análisis de trabajo seguro y permiso de trabajo               
Uso y mantenimiento de EPP              
Manejo de PQRS</t>
  </si>
  <si>
    <t>Brindar el conocimiento básico sobre el Sistema de Gestión Integral, Informar al trabajador sobre las características de su trabajo y comunicar lineamientos y políticas internas y del cliente.</t>
  </si>
  <si>
    <t>Gestión HSEQ</t>
  </si>
  <si>
    <t>Induccion al cargo</t>
  </si>
  <si>
    <t>Objeto del cargo o servicio prestado               
Funciones o actividades a ejecutar (Perfil del cargo o servicio y cronograma)              
Responsabilidades del Cargo              
Responsabilidad de Indicadores asociados              
Documentos asociados (Procedimientos, formatos)              
Rendición de cuentas, frecuencia y contenido de informes              
Orientación y aclaración para la realización actividades a desarrollar              
Autoridad              
Manejo de plataformas, usuarios y contraseñas              
Asignación de puesto de trabajo              
Presentación al grupo de trabajo</t>
  </si>
  <si>
    <t>Brindar los conocimientos necesarios  para que el personal nuevo este capacitado para el cargo a desempeñar</t>
  </si>
  <si>
    <t>Inducción de Gestión Humana</t>
  </si>
  <si>
    <t xml:space="preserve">Reseña Histórica de la empresa              
Misión              
Visión              
Reglamento Interno de Trabajo (Resumen)              
Código de Ética              
Manual de Convivencia              
Acoso Laboral              
Políticas de Gestión Humana              
Mecanismos de comunicación              
Contrato y anexos              
Seguridad Social y prestaciones sociales              
Uso de carné, correo y demás elementos suministrados </t>
  </si>
  <si>
    <t>Brindar a los todos los trabajadores y contratistas de MERIDIAN CONSULTING LTDA., una orientación efectiva en cuanto a la estructura general de la empresa, funciones o actividades del cargo o servicio a prestar y de acuerdo a las necesidades y hallazgos, realizar e implementar el programa de capacitación y entrenamiento para la correcta y segura ejecución de las actividades</t>
  </si>
  <si>
    <t>Peligros y riesgos</t>
  </si>
  <si>
    <t>Ergonomia Laboral</t>
  </si>
  <si>
    <t>Gestión del Riesgo Psicosocial</t>
  </si>
  <si>
    <t>Seguridad Fisica y DDHH</t>
  </si>
  <si>
    <t>Conservación y Cuidado del Medio Ambiente</t>
  </si>
  <si>
    <t>Primer Respondiente "Gente que Ayuda".</t>
  </si>
  <si>
    <t>Desempeño básico ante situaciones de emergencia
Incendios.
RCP y atoramiento
Quemaduras y electrocución.
Golpes, heridas y fracturas.
Desmayos, convulsiones, hipotermia y parto.
Temblores y terremotos.</t>
  </si>
  <si>
    <t>Brindar los conocimientos necesarios  para que el personal de Meridian actué como primer respondiente ante situaciones de emergencia.</t>
  </si>
  <si>
    <t>Enseñar principios básicos y teoría de control de pozos, así como las técnicas de control de pozos más utilizadas.</t>
  </si>
  <si>
    <t>Según  el marco del programa WellSharp de la IADC,: Causas de surgencias,Complicaciones,Regulaciones,Procedimientos de cierre, Detección de surgencias,Fluidos, Señales de advertencia de surgencias,Procedimientos de ahogo, Teoría de surgencia, Equipamiento de BOP,Sacada y Bajada de Tubería/
Inserción de Tubería bajo,presión Métodos de presión constante de fondo de pozo.)</t>
  </si>
  <si>
    <t>Stuckm Pipe/ Pega de Tuberías</t>
  </si>
  <si>
    <t>Capacitar en el reconocimiento  de los factores que causan la pega de tuberías , así como su prevención y soluciones posibles.</t>
  </si>
  <si>
    <t>Impacto de tubería pegada, Causas humanas y físicas ,Pega diferencial, Tubería pegada mecánicamente, Tubería pegada por problemas relacionados con la formación, Signos de advertencia, Prevención de pega diferencial, y por mecanismo mecánico, Calculadora de tubería pegada.</t>
  </si>
  <si>
    <t xml:space="preserve">Capacitar a los trabajadores para controlar los riesgos d de trabajo en altura </t>
  </si>
  <si>
    <t>Naturaleza de los peligros de caída de personas y objetos en el área de trabajo y fomento del autocuidado de  las personas.
Requisitos legales en protección contra caídas para trabajo seguro en alturas, de acuerdo a la actividad económica.
Responsabilidad laboral, civil, penal y administrativa.
Conceptos técnicos de protección contra caídas para trabajo seguro en alturas.
Medidas de prevención y protección contra caídas en trabajo desarrollado en alturas.
Procedimientos para seleccionar, manipular y almacenar equipos y materiales utilizados para protección contra caídas.
Conceptos básicos de autor rescate, rescate y fundamentos de primeros auxilios.
Permiso de trabajo en alturas.</t>
  </si>
  <si>
    <t>Manejo defensivo</t>
  </si>
  <si>
    <t>FASE I Ecopetrol</t>
  </si>
  <si>
    <t xml:space="preserve">Rig Inspection (Inspección de equpos de perforación) </t>
  </si>
  <si>
    <t>CARGO PROPUESTO Y/O ROL</t>
  </si>
  <si>
    <t>ENERO</t>
  </si>
  <si>
    <t>FEBRERO</t>
  </si>
  <si>
    <t>MARZO</t>
  </si>
  <si>
    <t>ABRIL</t>
  </si>
  <si>
    <t>MAYO</t>
  </si>
  <si>
    <t>JUNIO</t>
  </si>
  <si>
    <t>JULIO</t>
  </si>
  <si>
    <t>AGOSTO</t>
  </si>
  <si>
    <t>SEPTIEMBRE</t>
  </si>
  <si>
    <t>OCTUBRE</t>
  </si>
  <si>
    <t>NOVIEMBRE</t>
  </si>
  <si>
    <t>DICIEMBRE</t>
  </si>
  <si>
    <t>PROYECTO</t>
  </si>
  <si>
    <t>PROCESO</t>
  </si>
  <si>
    <t>GESTIÓN DE PROYECTOS</t>
  </si>
  <si>
    <t>SI</t>
  </si>
  <si>
    <t>LISTADO DE EMPLEADOS</t>
  </si>
  <si>
    <t>REQUIERE EVALUACIÓN?</t>
  </si>
  <si>
    <t>NO</t>
  </si>
  <si>
    <t>N°</t>
  </si>
  <si>
    <t>AREA</t>
  </si>
  <si>
    <t>NOMBRE COMPLETO</t>
  </si>
  <si>
    <t>CARGO</t>
  </si>
  <si>
    <t>ESTADO</t>
  </si>
  <si>
    <t>RESULTADO</t>
  </si>
  <si>
    <t>CERTIFICADO DESCARGADO</t>
  </si>
  <si>
    <t>COBERTURA TEMA</t>
  </si>
  <si>
    <t>EFICACIA POR TEMA</t>
  </si>
  <si>
    <t>CERTIFICADOS DESCARGADOS</t>
  </si>
  <si>
    <t>TOTAL DE CERTIFICADOS</t>
  </si>
  <si>
    <t>OBJETIVOS</t>
  </si>
  <si>
    <t>INDICADOR</t>
  </si>
  <si>
    <t>META</t>
  </si>
  <si>
    <t>FORMULA</t>
  </si>
  <si>
    <t>UNIDAD</t>
  </si>
  <si>
    <t>EFICACIA DE CAPACITACIONES POR TEMA</t>
  </si>
  <si>
    <t>DESCARGA DE CERTIFICADOS POR TEMA</t>
  </si>
  <si>
    <t>%</t>
  </si>
  <si>
    <t>Personas que asisten a capacitaciones / Personas que han sido citadas a capacitación</t>
  </si>
  <si>
    <t>Promedio de certificados descargados  (promedio a la fecha)</t>
  </si>
  <si>
    <t>Promedio de calificación  (promedio a la fecha)</t>
  </si>
  <si>
    <t>ANÁLISIS DE RESULTADOS</t>
  </si>
  <si>
    <t>PLAN DE ACCIÓN</t>
  </si>
  <si>
    <t>ACTIVIDAD</t>
  </si>
  <si>
    <t>PLAZO</t>
  </si>
  <si>
    <t>SEGUIMIENTO</t>
  </si>
  <si>
    <t xml:space="preserve">Well control </t>
  </si>
  <si>
    <t>Orden y aseo</t>
  </si>
  <si>
    <t>Estilos de Vida y Trabajo Saludable</t>
  </si>
  <si>
    <t>SUBTEMA - TEMARIO</t>
  </si>
  <si>
    <t xml:space="preserve">Virtual </t>
  </si>
  <si>
    <t>Salud Publica</t>
  </si>
  <si>
    <t>Control del Trabajo</t>
  </si>
  <si>
    <t xml:space="preserve">Curso de fomento de trabajo seguro, limpio y saludable fase II </t>
  </si>
  <si>
    <t>Virtual / Presencial</t>
  </si>
  <si>
    <t>Virtual / Presencia</t>
  </si>
  <si>
    <t>PARÁMETRO A MEDIR</t>
  </si>
  <si>
    <t>Programado mensual</t>
  </si>
  <si>
    <t>Ejecutado mensual</t>
  </si>
  <si>
    <t>% Cumplimiento mensual</t>
  </si>
  <si>
    <t>% Cumplimiento trimestral</t>
  </si>
  <si>
    <t xml:space="preserve"> CUMPLIMIENTO
INDUCCIÓN Y REINDUCCIÓN</t>
  </si>
  <si>
    <t>CUMPLIMIENTO PROGRAMA CAPACITACIÓN ENTRENAMIENTO</t>
  </si>
  <si>
    <t>CUMPLIMIENTO PROGRAMA INDUCCIÓN Y REINDUCCIÓN</t>
  </si>
  <si>
    <t xml:space="preserve"> CUMPLIMIENTO
TAREAS CRITICAS</t>
  </si>
  <si>
    <t># inducciones y reinducciones ejecutadas/# inducciones y reinducciones programadas</t>
  </si>
  <si>
    <t xml:space="preserve"># capacitaciones obligatorias ejecutadas/# capacitaciones obligatorias programadas </t>
  </si>
  <si>
    <t># Capacitaciones y actividades ejecutadas / #capacitaciones y actividades programadas</t>
  </si>
  <si>
    <t>TOTAL ANUAL</t>
  </si>
  <si>
    <t>COBERTURA INDUCCIÓN Y REINDUCCIÓN</t>
  </si>
  <si>
    <t>COBERTURA TAREAS CRITICAS</t>
  </si>
  <si>
    <t>COBERTURA CAPACITACIÓN Y ENTRENAMIENTO</t>
  </si>
  <si>
    <t>TRIMESTRE</t>
  </si>
  <si>
    <t>1 TRIM</t>
  </si>
  <si>
    <t>2 TRIM</t>
  </si>
  <si>
    <t>3 TRIM</t>
  </si>
  <si>
    <t>4 TRIM</t>
  </si>
  <si>
    <t>CUMPLIMIENTO
TAREAS CRITICAS</t>
  </si>
  <si>
    <t>CUMPLIMIENTO
 CAPACITACIÓN Y ENTRENAMIENTO</t>
  </si>
  <si>
    <t>GRÁFICO</t>
  </si>
  <si>
    <t>Brindar conocimientos mediante la formación y capacitación a los colaboradores de Meridian Consulting Ltda. para la prevención y control de los riesgos y oportunidades identificados en HSEQ</t>
  </si>
  <si>
    <t>CUMPLIMIENTO TAREAS CRITICAS (CAPACITACIONES OBLIGATORIAS)</t>
  </si>
  <si>
    <t xml:space="preserve">Trabajo seguro en alturas:
Jefes de área para trabajos en alturas.
</t>
  </si>
  <si>
    <t>Curso de fomento de trabajo seguro, limpio y saludable fase III</t>
  </si>
  <si>
    <t>Virtual</t>
  </si>
  <si>
    <t>PRIMER TRIMESTRE</t>
  </si>
  <si>
    <t>SEGUNDO TRIMESTRE</t>
  </si>
  <si>
    <t>TERCER TRIMESTRE</t>
  </si>
  <si>
    <t>CUARTO TRIMESTRE</t>
  </si>
  <si>
    <t>COBERTURA</t>
  </si>
  <si>
    <t>Trim I</t>
  </si>
  <si>
    <t>Trim II</t>
  </si>
  <si>
    <t>Trim III</t>
  </si>
  <si>
    <t>Trim IV</t>
  </si>
  <si>
    <t>Total año</t>
  </si>
  <si>
    <t xml:space="preserve"> Libro 1 de 7    </t>
  </si>
  <si>
    <t xml:space="preserve">Fecha: 24/05/2023                             Versión: 14                                       HSEQ-PRG-10                                                                                                           </t>
  </si>
  <si>
    <t>Libro 7 de 7</t>
  </si>
  <si>
    <t>MES PROGRAMADO/EJECUTADO</t>
  </si>
  <si>
    <t>FECHA</t>
  </si>
  <si>
    <t>Sistemas Inegrados de Gestion</t>
  </si>
  <si>
    <t>ADMOND</t>
  </si>
  <si>
    <t>EN</t>
  </si>
  <si>
    <t>FE</t>
  </si>
  <si>
    <t>AB</t>
  </si>
  <si>
    <t>MA</t>
  </si>
  <si>
    <t>JU</t>
  </si>
  <si>
    <t>JL</t>
  </si>
  <si>
    <t>AG</t>
  </si>
  <si>
    <t>OC</t>
  </si>
  <si>
    <t>DI</t>
  </si>
  <si>
    <t>TOTAL MES</t>
  </si>
  <si>
    <t>MES</t>
  </si>
  <si>
    <t>SE ASIGNA EL "P" SI DEBE RECIBIR EL TEMA
SE ASIGNA EL "E" SI FUE EVALUADO
SE PONDERA LA NOTA DE LA EVALUACIÓN DE 0 A 5</t>
  </si>
  <si>
    <t xml:space="preserve">RESUMEN RESULTADOS TERCER TRIMESTRE:
CUMPLIMIENTO: 
COBERTURA: 
EFICACIA: </t>
  </si>
  <si>
    <t xml:space="preserve">RESUMEN RESULTADOS CUARTO TRIMESTRE:
CUMPLIMIENTO: 
COBERTURA: 
EFICACIA: </t>
  </si>
  <si>
    <t xml:space="preserve">Activo </t>
  </si>
  <si>
    <t xml:space="preserve">Inducción Seguridad Víal </t>
  </si>
  <si>
    <t>Seguridad Víal</t>
  </si>
  <si>
    <t>Rig Pass</t>
  </si>
  <si>
    <t>HSEQ FRONTERA</t>
  </si>
  <si>
    <t>Control del Trabajo Frontera</t>
  </si>
  <si>
    <t>Entrenamiento Básico para la Brigada de Emergencias</t>
  </si>
  <si>
    <t>Entrenamiento para el COPASST</t>
  </si>
  <si>
    <t>Entrenamiento para el Comité de Convivencia Laboral</t>
  </si>
  <si>
    <t>Manipulación de Alimentos</t>
  </si>
  <si>
    <t>Curso de 50 o 20 horas SG-SST</t>
  </si>
  <si>
    <t>1. Valores Universales
2. Conciencia Víal
3. Actores Víales 
4. Velocidad</t>
  </si>
  <si>
    <t>No. IDENTIFICACION</t>
  </si>
  <si>
    <t>GERENTE GENERAL</t>
  </si>
  <si>
    <t>ADMINISTRACIÓN</t>
  </si>
  <si>
    <t>GESTIÓN ESTRATEGICA</t>
  </si>
  <si>
    <t>SUBGERENTE</t>
  </si>
  <si>
    <t>GERENTE ADMINISTRATIVA Y FINANCIERA</t>
  </si>
  <si>
    <t>GESTIÓN ADMINISTRATIVA Y FINANCIERA</t>
  </si>
  <si>
    <t xml:space="preserve">ASISTENTE ADMINISTRATIVO </t>
  </si>
  <si>
    <t>COORDINADOR HSEQ</t>
  </si>
  <si>
    <t>GESTIÓN HSEQ</t>
  </si>
  <si>
    <t>PROFESIONAL HSEQ</t>
  </si>
  <si>
    <t>SOPORTE HSEQ</t>
  </si>
  <si>
    <t>COORDINADOR/DIRECTOR DE PROYECTOS</t>
  </si>
  <si>
    <t>PROFESIONAL DE PROYECTOS</t>
  </si>
  <si>
    <t>FRON</t>
  </si>
  <si>
    <t>ASISTENTE DE COMPANY MAN D1</t>
  </si>
  <si>
    <t>ASISTENTE DE COMPANY MAN D2</t>
  </si>
  <si>
    <t>ASISTENTE DE COMPANY MAN D3</t>
  </si>
  <si>
    <t>COMPANY MAN B1</t>
  </si>
  <si>
    <t>COMPANY MAN B2</t>
  </si>
  <si>
    <t>COMPANY MAN B3</t>
  </si>
  <si>
    <t>PERSONAL
PROYECTO</t>
  </si>
  <si>
    <t>Induccion en Seguridad Víal</t>
  </si>
  <si>
    <t>Inducción Seguridad Víal</t>
  </si>
  <si>
    <t>Víal</t>
  </si>
  <si>
    <t>Excelencia_HSE</t>
  </si>
  <si>
    <t>1 ¿Qué es HSE y por qué es importante?
Significado y beneficios para las personas, la empresa y el entorno.
2 Cultura de seguridad y autocuidado
Comportamientos seguros, reportes de actos y condiciones inseguras.
Responsabilidad individual y colectiva.
3 Pilares de la salud ocupacional
Prevención de enfermedades laborales.
Promoción de hábitos saludables.
Exámenes médicos ocupacionales.
4 Gestión de la seguridad
Identificación de peligros y evaluación de riesgos.
Controles operacionales, uso correcto de EPP, permisos de trabajo.
5 Protección del medio ambiente
Manejo adecuado de residuos, consumo responsable de recursos.
Prevención de la contaminación.
6 Cumplimiento legal y normativo
Leyes y normas HSE aplicables.
Rol del trabajador en el cumplimiento.
7 Mejora continua en HSE
Indicadores, auditorías internas, participación de los trabajadores.
Lecciones aprendidas e innovación en seguridad y sostenibilidad.
Espacios Confinados</t>
  </si>
  <si>
    <t>1 ¿Qué es salud pública?
Cuidado de la salud de toda la comunidad.
2 Prevención de enfermedades
Higiene, vacunación, alimentación saludable.
3 Promoción de estilos de vida saludables
Ejercicio, no fumar, cuidar la salud mental.
4  Salud ambiental
Manejo de residuos, agua limpia, aire puro.
5 Acceso a servicios de salud
Rutas de atención y derechos en salud.
6 Respuesta a emergencias sanitarias
Qué hacer en caso de brotes o desastres.</t>
  </si>
  <si>
    <t>Brindar a los participantes conocimientos básicos sobre salud pública, sus principales áreas de acción y su impacto en la comunidad, con el fin de fomentar hábitos saludables, prevenir enfermedades y promover el bienestar colectivo a través de la participación activa y el autocuidado.</t>
  </si>
  <si>
    <t xml:space="preserve">1 ¿Qué es el medio ambiente y por qué debemos cuidarlo?
Importancia del aire, agua, suelo, flora y fauna.
2 Problemas ambientales actuales
Contaminación, cambio climático, deforestación, pérdida de biodiversidad.
3 Separación y manejo adecuado de residuos
Basura orgánica, reciclaje, residuos peligrosos.
4 Uso responsable de los recursos naturales
Ahorro de agua, energía y materiales.
5 Buenas prácticas ambientales en el hogar y el trabajo
Reducir, reutilizar y reciclar (Regla de las 3R).
Evitar plásticos de un solo uso.
6 Participación y compromiso individual y colectivo
Cómo cada persona puede aportar a un planeta más limpio.
</t>
  </si>
  <si>
    <t>Sensibilizar y capacitar a los participantes sobre la importancia de proteger el medio ambiente, promoviendo prácticas responsables como el uso eficiente de los recursos, la correcta gestión de residuos y la reducción de impactos negativos, con el fin de contribuir a la sostenibilidad del entorno en el hogar, el trabajo y la comunidad.</t>
  </si>
  <si>
    <t>Módulo 1 - Orientación del nuevo trabajador en un equipo de perforación
Módulo 2 - Comunicación de riesgos
Módulo 3 - Manejo defensivo
Módulo 4 - Equipos de protección personal(EPPS)
Módulo 5 - Levante manual de cargas
Módulo 6 - Comunicación de riesgos y manejo de materiales peligrosos
Módulo 7 - Salud ocupacional
Módulo 8 - Sulfuro de hidrógeno
Módulo 9 - Procedimientos especializados de trabajo
Módulo 10 - Espacios confinados y permisos de trabajo
Módulo 11 - Seguridad contra incendios
Módulo 12 - Manejo de materiales
Módulo 13 - Salud y primeros auxilios
Módulo 14 - Respuesta a emergencias
Módulo 15 - Protección ambiental en un taladro de perforación</t>
  </si>
  <si>
    <t>Capacitar y entrenar a todos los trabajadores para ingresar a los equipos de operación en torre tanto en el mar como en tierra. Los conceptos del curso tratan sobre seguridad, comunicación de peligros, salud ocupacional, procedimientos especializados de trabajos, manejo de materiales, primeros auxilios, protocolos de trabajo, manejo de las relaciones, entornos en la torre o plataforma de perforación, respuesta a emergencias, transporte y seguridad en el agua.</t>
  </si>
  <si>
    <t>Presencial/Virtual</t>
  </si>
  <si>
    <t>1. Salud Ocupacional
2. Emergencias
3. Gestión Ambiental
4. Seguridad Industrial
5. Calidad</t>
  </si>
  <si>
    <t>Dar a conocer los lineamientos HSE del cliente Frontera Energy a todos los trabajadores del proyecto.</t>
  </si>
  <si>
    <t xml:space="preserve">1. Políticas Corporativas Frontera Energy 
2. E-HSEQ-S-003 Estándar De Control Del Trabajo
3. E-HSEQ-S-004 Estándar De Seguridad Para Realizar Trabajos En Altura
4. E-HSEQ-S-005 Estándar De Seguridad Para El Levantamiento Mecánico De Cargas
5. E-HSEQ-S-006 Estándar De Seguridad Para Realizar Excavaciones
6. E-HSEQ-S-007 Estándar De Seguridad Para Trabajos En Espacios Confinados
7. E-HSEQ-S-008 Estándar De Seguridad Para Trabajos Con Energía Eléctrica
8. E-HSEQ-S-008 Estándar De Seguridad Para Realizar Aislamientos
9. E-HSEQ-S-009 Estándar Para El Levantamiento Manual De Cargas
10. E-HSEQ-S-010 Estándar De Seguridad Para Identificación De Peligros, Evaluación Y Valoración De Riesgos
11. E-HSEQ-S-011 Estándar De Seguridad Para Manejo De Productos Químicos
12. E-HSEQ-S-023 Estándar De Seguridad Vial
13. P-HSEQ-Q-014 Procedimiento Roles Y Responsabilidades De Control Del Trabajo
14. Seguridad Vial
15. Aislamientos De Energía
16. Trabajos En Altura
17. “Protegemos La Vida Controlando El Trabajo”
18. Elementos De Protección Personal
19. Espacios Confinados
20. Excavaciones
21. Identificación De Peligros, Evaluación Y Valoración De Riesgos
22. Levantamiento Manual De Carga
23. Levantamiento Mecánico De Cargas
24. Manejo De Químicos
25. “Permisos De Trabajo”
</t>
  </si>
  <si>
    <t>Reducir el riesgo al que están expuestos los tra bajadores, el medio ambiente, la operación y los equipos, protegiendo la vida y el bienesta r, a la vez que se ref uer za la discipli na operaciona l y la cultu ra segura de alto rendi miento.</t>
  </si>
  <si>
    <t>Company Man B1_Day</t>
  </si>
  <si>
    <t>Asistente company D1</t>
  </si>
  <si>
    <t>Asistente company D2</t>
  </si>
  <si>
    <t>JONATHAN RAMIREZ ALVARADO</t>
  </si>
  <si>
    <t>AGOS</t>
  </si>
  <si>
    <t>DEC</t>
  </si>
  <si>
    <t>OVIDIO ANDREZ GOMEZ RODRIGUEZ</t>
  </si>
  <si>
    <t>Company Man B3_Night</t>
  </si>
  <si>
    <t>Stuck Pipe/ Pega de Tuberías</t>
  </si>
  <si>
    <t>JUAN SEBASTIAN VARGAS DAVILA</t>
  </si>
  <si>
    <t>WILMAN ENRIQUE ALVAREZ QUIROZ</t>
  </si>
  <si>
    <t>JUAN DAVID ROBLES PIRE</t>
  </si>
  <si>
    <t xml:space="preserve">CANDIDA PATRICIA MARQUEZ BRUN </t>
  </si>
  <si>
    <t>CARLOS JOSE RODRIGUEZ RODRIGUEZ</t>
  </si>
  <si>
    <t>DANIEL ALFONSO CELMA HIDALGO</t>
  </si>
  <si>
    <t>Asistente D1</t>
  </si>
  <si>
    <t>DARIO ALEXANDER POMARE ORTEGA</t>
  </si>
  <si>
    <t>DIEGO ALEJANDRO ACUÑA QUINTERO</t>
  </si>
  <si>
    <t>Asistente D3</t>
  </si>
  <si>
    <t>Company Man B2</t>
  </si>
  <si>
    <t>MARIA DEL PILAR GOMEZ MORA</t>
  </si>
  <si>
    <t>FECHA PROXIMA DE EXAMEN</t>
  </si>
  <si>
    <t xml:space="preserve">Fecha: 24/05/2023                                                                                                                      Versión: 14                                                                                                                                                                                                                            HSEQ-PRG-10           </t>
  </si>
  <si>
    <t>ALBERTO VLADIMIR AMAYA ESPITIA</t>
  </si>
  <si>
    <t>JHON CAMILO ARDILA ROJAS</t>
  </si>
  <si>
    <t>Asistente D2</t>
  </si>
  <si>
    <t>JESSICA PAOLA MOSQUERA LOZANO</t>
  </si>
  <si>
    <t>MARIA VICTORIA MEDINA ANDRADE</t>
  </si>
  <si>
    <t>Company Woman C2_Day</t>
  </si>
  <si>
    <t>Company Man A2_Day</t>
  </si>
  <si>
    <t>ANDRES FELIPE CORREDOR ROA</t>
  </si>
  <si>
    <t>JULIAN DAVID NIETO ALVAREZ</t>
  </si>
  <si>
    <t>FLAVIA VANESSA PEREZ BARROS</t>
  </si>
  <si>
    <t>ANGELICA MARIA GONZALEZ SANCHEZ</t>
  </si>
  <si>
    <t>GILBERTO RUBIANO QUIROGA</t>
  </si>
  <si>
    <t>DANIEL RAMIREZ SANCHEZ</t>
  </si>
  <si>
    <t>CAMILO ALBERTO PEREZ RUIZ</t>
  </si>
  <si>
    <t>Company Man B1</t>
  </si>
  <si>
    <t>Company Man B3</t>
  </si>
  <si>
    <t>FARLEY GARCÍA OSORIO</t>
  </si>
  <si>
    <t>LADY JOHANNA OROZCO ORTIZ</t>
  </si>
  <si>
    <t>ALVARO ANDRES RIVERA OLARTE</t>
  </si>
  <si>
    <t>ANDRES FELIPE RIOS RODRIGUEZ</t>
  </si>
  <si>
    <t>OSWALDO JUNIOR SILVA MONROY</t>
  </si>
  <si>
    <t>NICOLAS FELIPE VALENZUELA CASTRO</t>
  </si>
  <si>
    <t xml:space="preserve">CARLOS MARIO HIGUITA BEDOYA </t>
  </si>
  <si>
    <t>MAURICIO ALEJANDRO CALVO RODRIGUEZ</t>
  </si>
  <si>
    <t>juanse774@hotmail.com</t>
  </si>
  <si>
    <t>wilman.alvarez1@hotmail.com</t>
  </si>
  <si>
    <t>jdroblesp@unal.edu.co</t>
  </si>
  <si>
    <t>candidapmb@gmail.com</t>
  </si>
  <si>
    <t>carlosrodriguez_r@hotmail.es</t>
  </si>
  <si>
    <t>danielcelma@hotmail.com</t>
  </si>
  <si>
    <t>dariopomare20@gmail.com</t>
  </si>
  <si>
    <t>dacua8@gmail.com</t>
  </si>
  <si>
    <t>mdpgomezm@gmail.com</t>
  </si>
  <si>
    <t>albertovladimir@gmail.com</t>
  </si>
  <si>
    <t>7.camiloardila@gmail.com</t>
  </si>
  <si>
    <t>vicomedina1212@gmail.com</t>
  </si>
  <si>
    <t>afcorredorr@gmail.com</t>
  </si>
  <si>
    <t>juliandavn@gmail.com</t>
  </si>
  <si>
    <t>ovidioandresgomez@gmail.com</t>
  </si>
  <si>
    <t>jonathan.ramirez.alvarado@outlook.com</t>
  </si>
  <si>
    <t>flavia.perezb@hotmail.com</t>
  </si>
  <si>
    <t>higuita1977@yahoo.es</t>
  </si>
  <si>
    <t>ing.gonzalez.angelica@gmail.com</t>
  </si>
  <si>
    <t>gilbertorubiano@yahoo.com</t>
  </si>
  <si>
    <t>danielramirezsanchez@hotmail.com</t>
  </si>
  <si>
    <t>camiloalbertoperezruiz45@gmail.com</t>
  </si>
  <si>
    <t>samuel.alejo07@gmail.com</t>
  </si>
  <si>
    <t>Alexandra.gamba@gmail.com</t>
  </si>
  <si>
    <t>farleygarciao@gmail.com</t>
  </si>
  <si>
    <t>ladyjohannaorozcoortiz@outlook.com</t>
  </si>
  <si>
    <t>afrr96@gmail.com</t>
  </si>
  <si>
    <t>LUIS FERNANDO PARRA GIL</t>
  </si>
  <si>
    <t>Company Man A2</t>
  </si>
  <si>
    <t>albarxa@gmail.com</t>
  </si>
  <si>
    <t>recalvo1976@gmail.com</t>
  </si>
  <si>
    <t>nf.nicolas@gmail.com</t>
  </si>
  <si>
    <t>oilsilva@yahoo.com.ar</t>
  </si>
  <si>
    <t>Lfparragil@hotmail.com</t>
  </si>
  <si>
    <t xml:space="preserve">MARZO </t>
  </si>
  <si>
    <t>Enero</t>
  </si>
  <si>
    <t>Fomentar en los participantes una cultura de prevención, autocuidado y compromiso con la salud, la seguridad y la protección del medio ambiente, a través del fortalecimiento de conocimientos, actitudes y prácticas que contribuyan al cumplimiento de los estándares HSE y a la mejora continua en los entornos laborales.</t>
  </si>
  <si>
    <t>Trabajo seguro en alturas:
Jefes de área para trabajos en alturas.</t>
  </si>
  <si>
    <t>Tema</t>
  </si>
  <si>
    <t>Horas</t>
  </si>
  <si>
    <t>Total HP</t>
  </si>
  <si>
    <t>Total HE</t>
  </si>
  <si>
    <t>Trabajo seguro en alturas:Jefes de área</t>
  </si>
  <si>
    <t>Total horas capacitación cursos específicos</t>
  </si>
  <si>
    <t>Febrero</t>
  </si>
  <si>
    <t>-</t>
  </si>
  <si>
    <t xml:space="preserve">Total horas capacitación global </t>
  </si>
  <si>
    <t>4.5</t>
  </si>
  <si>
    <t xml:space="preserve">Fecha: 24/05/2023                                                                                                                           Versión: 14                                                                                                                       HSEQ-PRG-10                  </t>
  </si>
  <si>
    <t>ALEXANDRA VANESSA GAMBA CAMARGO</t>
  </si>
  <si>
    <t>CE 361.804</t>
  </si>
  <si>
    <t>SAMUEL ALEJANDRO NARANJO LEGUIZAMON</t>
  </si>
  <si>
    <t>OSCAR JAVIER PIRAGUA MENESES</t>
  </si>
  <si>
    <t>opiragua@gmail.com</t>
  </si>
  <si>
    <t>MIGUEL ALBERTO VELASQUEZ OSMA</t>
  </si>
  <si>
    <t>miguel12820@msn.com</t>
  </si>
  <si>
    <t>4.0</t>
  </si>
  <si>
    <t>MARIA MONICA SIERRA CESPEDES</t>
  </si>
  <si>
    <t>mariamonicasc@hotmail.com</t>
  </si>
  <si>
    <t>LUIS FERNANDO GUTIERREZ VILLAMIL</t>
  </si>
  <si>
    <t>Especialista</t>
  </si>
  <si>
    <t>4.7</t>
  </si>
  <si>
    <t>4.2</t>
  </si>
  <si>
    <t>SILVIA JULIANA FLETCHER PEÑA</t>
  </si>
  <si>
    <t>sjulianafletcher@gmail.com</t>
  </si>
  <si>
    <t>CARLOS EDUARDO GOMEZ VEGA</t>
  </si>
  <si>
    <t>JUAN SEBASTIAN GUERRERO RINCON</t>
  </si>
  <si>
    <t>sebastianguerrero9601@gmail.com</t>
  </si>
  <si>
    <t>carlosgomez0105@gmail.com</t>
  </si>
  <si>
    <t>Riesgo Publico &amp; Derechos Humanos</t>
  </si>
  <si>
    <t>Marzo</t>
  </si>
  <si>
    <t>Retirado</t>
  </si>
  <si>
    <t>CARLOS ALBERTO RUIZ VANEGAS</t>
  </si>
  <si>
    <t>carruizvan@gmail.com</t>
  </si>
  <si>
    <t>DIEGO GERMAN GONZALEZ VALENZUELA</t>
  </si>
  <si>
    <t xml:space="preserve">CORREO ELECTRONICO </t>
  </si>
  <si>
    <t>jeshika.mosquera@outlook.es</t>
  </si>
  <si>
    <t>gonva11@hotmail.com</t>
  </si>
  <si>
    <t>polislickline@gmail.com</t>
  </si>
  <si>
    <t>JUAN FELIPE RIOS TORRES</t>
  </si>
  <si>
    <t>juanfeliperiost@gmail.com</t>
  </si>
  <si>
    <t>Asistente Company Man D2</t>
  </si>
  <si>
    <t>SANTIAGO ORDUZ RIOS</t>
  </si>
  <si>
    <t>santiagorduz@hotmail.com</t>
  </si>
  <si>
    <t>jriano52@gmail.com</t>
  </si>
  <si>
    <t>JUAN LEONARDO RODRÍGUEZ NIETO</t>
  </si>
  <si>
    <t>juan.rodriguezuis@gmail.com</t>
  </si>
  <si>
    <t>Asistente Company Man D1</t>
  </si>
  <si>
    <t xml:space="preserve">HERNEY DELGADO MARTINEZ </t>
  </si>
  <si>
    <t>herdelmar@hotmail.com</t>
  </si>
  <si>
    <t>JESUS MARIA RIAÑO GAITAN</t>
  </si>
  <si>
    <t>DAVID RICARDO PEREZ ABELLO</t>
  </si>
  <si>
    <t>davidzerep@gmail.com</t>
  </si>
  <si>
    <t>EDWIN ALBERTO SALAZAR ZULETA</t>
  </si>
  <si>
    <t>edwinsalazarz.17@hotmail.com</t>
  </si>
  <si>
    <t>Abril</t>
  </si>
  <si>
    <t>JEYSSON JAVIER PERDOMO ARIAS</t>
  </si>
  <si>
    <t>jeysson.perdomo@gmail.com</t>
  </si>
  <si>
    <t>FRONTERA ENERGY</t>
  </si>
  <si>
    <t>HENRY RENE SABA</t>
  </si>
  <si>
    <t>renesaba@gmail.com</t>
  </si>
  <si>
    <t>Mayo</t>
  </si>
  <si>
    <t>SAGRILAFT</t>
  </si>
  <si>
    <t>Con el fin de fortalecer el conocimiento y cumplimiento de las disposiciones relacionadas con el Sistema de Autocontrol y Gestión del Riesgo Integral de Lavado de Activos, Financiación del Terrorismo y Proliferación de Armas de Destrucción Masiva</t>
  </si>
  <si>
    <t>Lavado de Activos (LA)
Financiación del Terrorismo (FT)
Financiamiento de la Proliferación de Armas de Destrucción Masiva (FPADM)
Diferencias entre LA/FT
Sujetos obligados</t>
  </si>
  <si>
    <t>Junio</t>
  </si>
  <si>
    <t>RICARDO ANDRES VARGAS CORREDOR</t>
  </si>
  <si>
    <t>ricardoanvaco@gmail.com</t>
  </si>
  <si>
    <t>jorgeparraarias0000@gmail.com</t>
  </si>
  <si>
    <t>JUAN GUILLERMO CANO CHACUA</t>
  </si>
  <si>
    <t>JORGE ALBEIRO PARRA ARIAS</t>
  </si>
  <si>
    <t>Asistente Company Man D3</t>
  </si>
  <si>
    <t>jgcano1012@gmail.com</t>
  </si>
  <si>
    <t xml:space="preserve">TIPO DE EXAMEN </t>
  </si>
  <si>
    <t>Inactivo</t>
  </si>
  <si>
    <r>
      <t xml:space="preserve">RESUMEN RESULTADOS PRIMER TRIMESTRE:
CUMPLIMIENTO: 
</t>
    </r>
    <r>
      <rPr>
        <sz val="12"/>
        <rFont val="Arial"/>
        <family val="2"/>
      </rPr>
      <t xml:space="preserve">Programa en general 100%
Re-Inducciones 100%
Tareas Criticas 100%
</t>
    </r>
    <r>
      <rPr>
        <b/>
        <sz val="12"/>
        <rFont val="Arial"/>
        <family val="2"/>
      </rPr>
      <t xml:space="preserve">
COBERTURA: 
</t>
    </r>
    <r>
      <rPr>
        <sz val="12"/>
        <rFont val="Arial"/>
        <family val="2"/>
      </rPr>
      <t xml:space="preserve">Programa en general 100%
Re-inducciones 100%
Tareas criticas 100%
</t>
    </r>
    <r>
      <rPr>
        <b/>
        <sz val="12"/>
        <rFont val="Arial"/>
        <family val="2"/>
      </rPr>
      <t xml:space="preserve">
EFICACIA: 
</t>
    </r>
    <r>
      <rPr>
        <sz val="12"/>
        <rFont val="Arial"/>
        <family val="2"/>
      </rPr>
      <t>Por capacitaciones por tema 100%
Descarga de certificados 100%</t>
    </r>
  </si>
  <si>
    <r>
      <t xml:space="preserve">RESUMEN RESULTADOS SEGUNDO TRIMESTRE:
CUMPLIMIENTO: 
</t>
    </r>
    <r>
      <rPr>
        <sz val="12"/>
        <rFont val="Arial"/>
        <family val="2"/>
      </rPr>
      <t xml:space="preserve">Programa en general 100%
Re-Inducciones 100%
Tareas Criticas 100%
</t>
    </r>
    <r>
      <rPr>
        <b/>
        <sz val="12"/>
        <rFont val="Arial"/>
        <family val="2"/>
      </rPr>
      <t xml:space="preserve">
COBERTURA: 
</t>
    </r>
    <r>
      <rPr>
        <sz val="12"/>
        <rFont val="Arial"/>
        <family val="2"/>
      </rPr>
      <t xml:space="preserve">Programa en general 100%
Re-inducciones 100%
Tareas criticas 100%
</t>
    </r>
    <r>
      <rPr>
        <b/>
        <sz val="12"/>
        <rFont val="Arial"/>
        <family val="2"/>
      </rPr>
      <t xml:space="preserve">
EFICACIA: 
</t>
    </r>
    <r>
      <rPr>
        <sz val="12"/>
        <rFont val="Arial"/>
        <family val="2"/>
      </rPr>
      <t>Por capacitaciones por tema 100%
Descarga de certificados 100%</t>
    </r>
  </si>
  <si>
    <t>Fortalecer las competencias de los trabajadores para identificar, prevenir y actuar de manera segura frente a situaciones de riesgo público, promoviendo comportamientos seguros que protejan la vida, los bienes y la continuidad de las operaciones de la organización.</t>
  </si>
  <si>
    <t>1. Sección 1: Riesgo Público: Identificación, Prevención y Autocuidado
2. Sección 2: Promoción de los Derechos Humanos
3. Sección 3: Derechos Humanos en el Ámbito Laboral - Política de Riesgo Público Y DDHH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</si>
</sst>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43" formatCode="_-* #,##0.00_-;\-* #,##0.00_-;_-* &quot;-&quot;??_-;_-@_-"/>
    <numFmt numFmtId="164" formatCode="##,##0_);[Red]\(##,##0\)"/>
    <numFmt numFmtId="165" formatCode="yyyy/mm/dd"/>
    <numFmt numFmtId="166" formatCode="_-* #,##0_-;\-* #,##0_-;_-* &quot;-&quot;??_-;_-@_-"/>
  </numFmts>
  <fonts count="69">
    <font>
      <sz val="10"/>
      <name val="Verdana   "/>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name val="Arial"/>
      <family val="2"/>
    </font>
    <font>
      <b/>
      <sz val="11"/>
      <name val="Arial"/>
      <family val="2"/>
    </font>
    <font>
      <sz val="9"/>
      <name val="Arial"/>
      <family val="2"/>
    </font>
    <font>
      <b/>
      <sz val="9"/>
      <name val="Arial"/>
      <family val="2"/>
    </font>
    <font>
      <sz val="9"/>
      <color indexed="81"/>
      <name val="Tahoma"/>
      <family val="2"/>
    </font>
    <font>
      <sz val="11"/>
      <color theme="1"/>
      <name val="Calibri"/>
      <family val="2"/>
      <scheme val="minor"/>
    </font>
    <font>
      <sz val="11"/>
      <color theme="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sz val="18"/>
      <color theme="3"/>
      <name val="Calibri Light"/>
      <family val="2"/>
      <scheme val="major"/>
    </font>
    <font>
      <b/>
      <sz val="13"/>
      <color theme="3"/>
      <name val="Calibri"/>
      <family val="2"/>
      <scheme val="minor"/>
    </font>
    <font>
      <b/>
      <sz val="11"/>
      <color theme="1"/>
      <name val="Calibri"/>
      <family val="2"/>
      <scheme val="minor"/>
    </font>
    <font>
      <sz val="10"/>
      <color theme="1"/>
      <name val="Arial"/>
      <family val="2"/>
    </font>
    <font>
      <b/>
      <sz val="11"/>
      <color theme="1"/>
      <name val="Arial"/>
      <family val="2"/>
    </font>
    <font>
      <b/>
      <sz val="10"/>
      <color theme="1"/>
      <name val="Arial"/>
      <family val="2"/>
    </font>
    <font>
      <b/>
      <sz val="9"/>
      <color theme="1"/>
      <name val="Arial"/>
      <family val="2"/>
    </font>
    <font>
      <b/>
      <sz val="7"/>
      <name val="Arial"/>
      <family val="2"/>
    </font>
    <font>
      <sz val="10"/>
      <name val="Arial"/>
      <family val="2"/>
    </font>
    <font>
      <b/>
      <sz val="11"/>
      <color theme="0"/>
      <name val="Arial"/>
      <family val="2"/>
    </font>
    <font>
      <u/>
      <sz val="10"/>
      <color indexed="12"/>
      <name val="Arial"/>
      <family val="2"/>
    </font>
    <font>
      <sz val="11"/>
      <color theme="1"/>
      <name val="Arial"/>
      <family val="2"/>
    </font>
    <font>
      <sz val="10"/>
      <name val="Verdana   "/>
    </font>
    <font>
      <b/>
      <sz val="12"/>
      <name val="Arial"/>
      <family val="2"/>
    </font>
    <font>
      <b/>
      <sz val="14"/>
      <name val="Arial"/>
      <family val="2"/>
    </font>
    <font>
      <sz val="10"/>
      <color rgb="FFFF0000"/>
      <name val="Arial"/>
      <family val="2"/>
    </font>
    <font>
      <b/>
      <sz val="18"/>
      <color theme="1"/>
      <name val="Calibri"/>
      <family val="2"/>
      <scheme val="minor"/>
    </font>
    <font>
      <b/>
      <sz val="16"/>
      <color theme="1"/>
      <name val="Calibri"/>
      <family val="2"/>
      <scheme val="minor"/>
    </font>
    <font>
      <sz val="11"/>
      <color rgb="FF000000"/>
      <name val="Arial"/>
      <family val="2"/>
    </font>
    <font>
      <sz val="8"/>
      <name val="Verdana   "/>
    </font>
    <font>
      <b/>
      <sz val="16"/>
      <name val="Arial"/>
      <family val="2"/>
    </font>
    <font>
      <sz val="14"/>
      <name val="Arial"/>
      <family val="2"/>
    </font>
    <font>
      <sz val="12"/>
      <name val="Arial"/>
      <family val="2"/>
    </font>
    <font>
      <sz val="12"/>
      <color theme="1"/>
      <name val="Arial"/>
      <family val="2"/>
    </font>
    <font>
      <sz val="16"/>
      <color theme="1"/>
      <name val="Candara"/>
      <family val="2"/>
    </font>
    <font>
      <b/>
      <sz val="16"/>
      <name val="Candara"/>
      <family val="2"/>
    </font>
    <font>
      <b/>
      <sz val="9"/>
      <color indexed="81"/>
      <name val="Tahoma"/>
      <family val="2"/>
    </font>
    <font>
      <u/>
      <sz val="10"/>
      <color theme="10"/>
      <name val="Verdana   "/>
    </font>
    <font>
      <b/>
      <sz val="12"/>
      <color theme="1"/>
      <name val="Arial"/>
      <family val="2"/>
    </font>
    <font>
      <b/>
      <sz val="12"/>
      <name val="Calibri"/>
      <family val="2"/>
      <scheme val="minor"/>
    </font>
    <font>
      <b/>
      <sz val="12"/>
      <color indexed="8"/>
      <name val="Calibri"/>
      <family val="2"/>
    </font>
    <font>
      <b/>
      <sz val="12"/>
      <name val="Calibri"/>
      <family val="2"/>
    </font>
    <font>
      <b/>
      <sz val="8"/>
      <name val="Arial"/>
      <family val="2"/>
    </font>
    <font>
      <sz val="9"/>
      <color theme="0"/>
      <name val="Arial"/>
      <family val="2"/>
    </font>
    <font>
      <sz val="12"/>
      <color rgb="FF000000"/>
      <name val="Arial"/>
      <family val="2"/>
    </font>
    <font>
      <b/>
      <sz val="12"/>
      <color theme="0"/>
      <name val="Arial"/>
      <family val="2"/>
    </font>
    <font>
      <sz val="10"/>
      <color theme="0"/>
      <name val="Arial"/>
      <family val="2"/>
    </font>
    <font>
      <b/>
      <sz val="10"/>
      <color theme="0"/>
      <name val="Arial"/>
      <family val="2"/>
    </font>
    <font>
      <sz val="8"/>
      <name val="Candara"/>
      <family val="2"/>
    </font>
    <font>
      <b/>
      <sz val="8"/>
      <name val="Candara"/>
      <family val="2"/>
    </font>
    <font>
      <sz val="10"/>
      <name val="Candara"/>
      <family val="2"/>
    </font>
    <font>
      <sz val="12"/>
      <name val="Verdana   "/>
    </font>
    <font>
      <sz val="12"/>
      <color theme="0"/>
      <name val="Calibri"/>
      <family val="2"/>
      <scheme val="minor"/>
    </font>
    <font>
      <u/>
      <sz val="12"/>
      <color theme="10"/>
      <name val="Verdana   "/>
    </font>
    <font>
      <sz val="12"/>
      <color theme="0"/>
      <name val="Arial"/>
      <family val="2"/>
    </font>
  </fonts>
  <fills count="49">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4" tint="0.79998168889431442"/>
        <bgColor indexed="64"/>
      </patternFill>
    </fill>
    <fill>
      <patternFill patternType="solid">
        <fgColor rgb="FF7030A0"/>
        <bgColor indexed="64"/>
      </patternFill>
    </fill>
    <fill>
      <patternFill patternType="solid">
        <fgColor theme="1"/>
        <bgColor indexed="64"/>
      </patternFill>
    </fill>
    <fill>
      <patternFill patternType="solid">
        <fgColor rgb="FF002060"/>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rgb="FF000000"/>
      </patternFill>
    </fill>
    <fill>
      <patternFill patternType="solid">
        <fgColor rgb="FF00B05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s>
  <borders count="8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diagonal/>
    </border>
    <border>
      <left style="thin">
        <color indexed="64"/>
      </left>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style="thin">
        <color indexed="64"/>
      </left>
      <right/>
      <top/>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indexed="64"/>
      </left>
      <right/>
      <top/>
      <bottom style="medium">
        <color indexed="64"/>
      </bottom>
      <diagonal/>
    </border>
    <border>
      <left/>
      <right/>
      <top style="thin">
        <color theme="0"/>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theme="0"/>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thin">
        <color indexed="64"/>
      </left>
      <right style="thin">
        <color indexed="64"/>
      </right>
      <top style="thin">
        <color theme="0"/>
      </top>
      <bottom/>
      <diagonal/>
    </border>
    <border>
      <left style="medium">
        <color indexed="64"/>
      </left>
      <right/>
      <top style="thin">
        <color theme="0"/>
      </top>
      <bottom/>
      <diagonal/>
    </border>
    <border>
      <left/>
      <right style="medium">
        <color indexed="64"/>
      </right>
      <top style="thin">
        <color theme="0"/>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74">
    <xf numFmtId="0" fontId="0" fillId="0" borderId="0"/>
    <xf numFmtId="0" fontId="12" fillId="2" borderId="0" applyNumberFormat="0" applyBorder="0" applyAlignment="0" applyProtection="0"/>
    <xf numFmtId="0" fontId="12" fillId="2"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4" fillId="20" borderId="30" applyNumberFormat="0" applyAlignment="0" applyProtection="0"/>
    <xf numFmtId="0" fontId="15" fillId="21" borderId="31" applyNumberFormat="0" applyAlignment="0" applyProtection="0"/>
    <xf numFmtId="0" fontId="16" fillId="0" borderId="32" applyNumberFormat="0" applyFill="0" applyAlignment="0" applyProtection="0"/>
    <xf numFmtId="0" fontId="17" fillId="0" borderId="0" applyNumberFormat="0" applyFill="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8" fillId="28" borderId="30" applyNumberFormat="0" applyAlignment="0" applyProtection="0"/>
    <xf numFmtId="0" fontId="19" fillId="29" borderId="0" applyNumberFormat="0" applyBorder="0" applyAlignment="0" applyProtection="0"/>
    <xf numFmtId="0" fontId="20" fillId="30" borderId="0" applyNumberFormat="0" applyBorder="0" applyAlignment="0" applyProtection="0"/>
    <xf numFmtId="0" fontId="6" fillId="0" borderId="0"/>
    <xf numFmtId="0" fontId="6" fillId="0" borderId="0"/>
    <xf numFmtId="0" fontId="6" fillId="0" borderId="0"/>
    <xf numFmtId="0" fontId="12" fillId="31" borderId="33" applyNumberFormat="0" applyFont="0" applyAlignment="0" applyProtection="0"/>
    <xf numFmtId="0" fontId="12" fillId="31" borderId="33" applyNumberFormat="0" applyFont="0" applyAlignment="0" applyProtection="0"/>
    <xf numFmtId="9" fontId="12" fillId="0" borderId="0" applyFont="0" applyFill="0" applyBorder="0" applyAlignment="0" applyProtection="0"/>
    <xf numFmtId="0" fontId="21" fillId="20" borderId="34"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35" applyNumberFormat="0" applyFill="0" applyAlignment="0" applyProtection="0"/>
    <xf numFmtId="0" fontId="17" fillId="0" borderId="36" applyNumberFormat="0" applyFill="0" applyAlignment="0" applyProtection="0"/>
    <xf numFmtId="0" fontId="26" fillId="0" borderId="37" applyNumberFormat="0" applyFill="0" applyAlignment="0" applyProtection="0"/>
    <xf numFmtId="0" fontId="32" fillId="0" borderId="0"/>
    <xf numFmtId="0" fontId="4" fillId="0" borderId="0"/>
    <xf numFmtId="9" fontId="6" fillId="0" borderId="0" applyFont="0" applyFill="0" applyBorder="0" applyAlignment="0" applyProtection="0"/>
    <xf numFmtId="0" fontId="34" fillId="0" borderId="0" applyNumberFormat="0" applyFill="0" applyBorder="0" applyAlignment="0" applyProtection="0">
      <alignment vertical="top"/>
      <protection locked="0"/>
    </xf>
    <xf numFmtId="43" fontId="36" fillId="0" borderId="0" applyFont="0" applyFill="0" applyBorder="0" applyAlignment="0" applyProtection="0"/>
    <xf numFmtId="9" fontId="3" fillId="0" borderId="0" applyFont="0" applyFill="0" applyBorder="0" applyAlignment="0" applyProtection="0"/>
    <xf numFmtId="0" fontId="2" fillId="0" borderId="0"/>
    <xf numFmtId="0" fontId="2" fillId="0" borderId="0"/>
    <xf numFmtId="0" fontId="2" fillId="6" borderId="0" applyNumberFormat="0" applyBorder="0" applyAlignment="0" applyProtection="0"/>
    <xf numFmtId="0" fontId="42" fillId="0" borderId="0"/>
    <xf numFmtId="0" fontId="42" fillId="0" borderId="0"/>
    <xf numFmtId="44"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0" fontId="1" fillId="0" borderId="0"/>
    <xf numFmtId="9" fontId="1" fillId="0" borderId="0" applyFont="0" applyFill="0" applyBorder="0" applyAlignment="0" applyProtection="0"/>
    <xf numFmtId="0" fontId="51" fillId="0" borderId="0" applyNumberFormat="0" applyFill="0" applyBorder="0" applyAlignment="0" applyProtection="0"/>
  </cellStyleXfs>
  <cellXfs count="663">
    <xf numFmtId="0" fontId="0" fillId="0" borderId="0" xfId="0"/>
    <xf numFmtId="0" fontId="27" fillId="0" borderId="0" xfId="0" applyFont="1"/>
    <xf numFmtId="0" fontId="27" fillId="0" borderId="0" xfId="0" applyFont="1" applyAlignment="1">
      <alignment vertical="center"/>
    </xf>
    <xf numFmtId="0" fontId="27" fillId="0" borderId="0" xfId="0" applyFont="1" applyAlignment="1">
      <alignment horizontal="center"/>
    </xf>
    <xf numFmtId="0" fontId="6" fillId="0" borderId="0" xfId="0" applyFont="1"/>
    <xf numFmtId="0" fontId="6" fillId="0" borderId="0" xfId="0" applyFont="1" applyAlignment="1">
      <alignment horizontal="center" vertical="center"/>
    </xf>
    <xf numFmtId="0" fontId="27" fillId="0" borderId="1" xfId="0" applyFont="1" applyBorder="1" applyAlignment="1">
      <alignment horizontal="center" vertical="center"/>
    </xf>
    <xf numFmtId="0" fontId="6" fillId="0" borderId="0" xfId="44" applyAlignment="1">
      <alignment horizontal="center" vertical="center" wrapText="1"/>
    </xf>
    <xf numFmtId="0" fontId="27" fillId="0" borderId="26" xfId="0" applyFont="1" applyBorder="1" applyAlignment="1">
      <alignment horizontal="center" vertical="center"/>
    </xf>
    <xf numFmtId="0" fontId="7" fillId="0" borderId="0" xfId="44" applyFont="1"/>
    <xf numFmtId="0" fontId="7" fillId="0" borderId="0" xfId="57" applyFont="1"/>
    <xf numFmtId="0" fontId="7" fillId="0" borderId="0" xfId="57" applyFont="1" applyAlignment="1">
      <alignment horizontal="center"/>
    </xf>
    <xf numFmtId="0" fontId="29" fillId="0" borderId="0" xfId="44" applyFont="1" applyAlignment="1">
      <alignment horizontal="center" vertical="center" wrapText="1"/>
    </xf>
    <xf numFmtId="0" fontId="6" fillId="32" borderId="1" xfId="44" applyFill="1" applyBorder="1" applyAlignment="1">
      <alignment vertical="top" wrapText="1"/>
    </xf>
    <xf numFmtId="0" fontId="6" fillId="0" borderId="0" xfId="44" applyAlignment="1">
      <alignment vertical="center" wrapText="1"/>
    </xf>
    <xf numFmtId="0" fontId="9" fillId="0" borderId="0" xfId="0" applyFont="1" applyAlignment="1">
      <alignment vertical="center"/>
    </xf>
    <xf numFmtId="0" fontId="5" fillId="0" borderId="0" xfId="0" applyFont="1" applyAlignment="1">
      <alignment horizontal="center" vertical="center"/>
    </xf>
    <xf numFmtId="164" fontId="6" fillId="0" borderId="0" xfId="0" applyNumberFormat="1" applyFont="1"/>
    <xf numFmtId="165" fontId="6" fillId="0" borderId="0" xfId="0" applyNumberFormat="1" applyFont="1" applyAlignment="1">
      <alignment horizontal="center"/>
    </xf>
    <xf numFmtId="0" fontId="6" fillId="0" borderId="0" xfId="0" applyFont="1" applyAlignment="1">
      <alignment horizontal="center"/>
    </xf>
    <xf numFmtId="0" fontId="6" fillId="0" borderId="0" xfId="0" applyFont="1" applyProtection="1">
      <protection hidden="1"/>
    </xf>
    <xf numFmtId="0" fontId="6" fillId="0" borderId="0" xfId="0" applyFont="1" applyAlignment="1" applyProtection="1">
      <alignment horizontal="center" vertical="center"/>
      <protection hidden="1"/>
    </xf>
    <xf numFmtId="164" fontId="6" fillId="0" borderId="0" xfId="0" applyNumberFormat="1" applyFont="1" applyProtection="1">
      <protection hidden="1"/>
    </xf>
    <xf numFmtId="0" fontId="6" fillId="0" borderId="0" xfId="0" applyFont="1" applyAlignment="1" applyProtection="1">
      <alignment horizontal="center"/>
      <protection hidden="1"/>
    </xf>
    <xf numFmtId="165" fontId="6" fillId="0" borderId="0" xfId="0" applyNumberFormat="1" applyFont="1" applyAlignment="1" applyProtection="1">
      <alignment horizontal="center"/>
      <protection hidden="1"/>
    </xf>
    <xf numFmtId="0" fontId="7" fillId="0" borderId="0" xfId="57" applyFont="1" applyAlignment="1">
      <alignment horizontal="center" wrapText="1"/>
    </xf>
    <xf numFmtId="0" fontId="29" fillId="0" borderId="0" xfId="44" applyFont="1" applyAlignment="1">
      <alignment horizontal="center" wrapText="1"/>
    </xf>
    <xf numFmtId="0" fontId="6" fillId="0" borderId="0" xfId="44" applyAlignment="1">
      <alignment horizontal="center" wrapText="1"/>
    </xf>
    <xf numFmtId="14" fontId="6" fillId="0" borderId="0" xfId="44" applyNumberFormat="1" applyAlignment="1">
      <alignment horizontal="center" wrapText="1"/>
    </xf>
    <xf numFmtId="9" fontId="7" fillId="0" borderId="1" xfId="57" applyNumberFormat="1" applyFont="1" applyBorder="1" applyAlignment="1">
      <alignment horizontal="center" vertical="center" wrapText="1"/>
    </xf>
    <xf numFmtId="0" fontId="6" fillId="32" borderId="13" xfId="44" applyFill="1" applyBorder="1" applyAlignment="1">
      <alignment vertical="top" wrapText="1"/>
    </xf>
    <xf numFmtId="0" fontId="31" fillId="37" borderId="2" xfId="57" applyFont="1" applyFill="1" applyBorder="1" applyAlignment="1">
      <alignment vertical="center" wrapText="1"/>
    </xf>
    <xf numFmtId="0" fontId="39" fillId="0" borderId="53" xfId="44" applyFont="1" applyBorder="1" applyAlignment="1">
      <alignment horizontal="center"/>
    </xf>
    <xf numFmtId="0" fontId="39" fillId="0" borderId="0" xfId="44" applyFont="1" applyAlignment="1">
      <alignment horizontal="center"/>
    </xf>
    <xf numFmtId="0" fontId="39" fillId="0" borderId="54" xfId="44" applyFont="1" applyBorder="1" applyAlignment="1">
      <alignment horizontal="center"/>
    </xf>
    <xf numFmtId="0" fontId="39" fillId="0" borderId="53" xfId="44" applyFont="1" applyBorder="1"/>
    <xf numFmtId="0" fontId="39" fillId="0" borderId="0" xfId="44" applyFont="1"/>
    <xf numFmtId="9" fontId="39" fillId="0" borderId="0" xfId="62" applyFont="1" applyBorder="1"/>
    <xf numFmtId="9" fontId="39" fillId="0" borderId="54" xfId="62" applyFont="1" applyBorder="1"/>
    <xf numFmtId="0" fontId="39" fillId="0" borderId="23" xfId="44" applyFont="1" applyBorder="1"/>
    <xf numFmtId="9" fontId="39" fillId="0" borderId="24" xfId="62" applyFont="1" applyBorder="1"/>
    <xf numFmtId="9" fontId="39" fillId="0" borderId="25" xfId="62" applyFont="1" applyBorder="1"/>
    <xf numFmtId="9" fontId="39" fillId="0" borderId="54" xfId="62" applyFont="1" applyBorder="1" applyAlignment="1">
      <alignment horizontal="right"/>
    </xf>
    <xf numFmtId="9" fontId="39" fillId="0" borderId="25" xfId="62" applyFont="1" applyBorder="1" applyAlignment="1">
      <alignment horizontal="right"/>
    </xf>
    <xf numFmtId="0" fontId="39" fillId="0" borderId="54" xfId="44" applyFont="1" applyBorder="1" applyAlignment="1">
      <alignment wrapText="1"/>
    </xf>
    <xf numFmtId="0" fontId="31" fillId="37" borderId="45" xfId="57" applyFont="1" applyFill="1" applyBorder="1" applyAlignment="1">
      <alignment vertical="center" wrapText="1"/>
    </xf>
    <xf numFmtId="9" fontId="7" fillId="0" borderId="26" xfId="57" applyNumberFormat="1" applyFont="1" applyBorder="1" applyAlignment="1">
      <alignment horizontal="center" wrapText="1"/>
    </xf>
    <xf numFmtId="0" fontId="7" fillId="0" borderId="21" xfId="57" applyFont="1" applyBorder="1"/>
    <xf numFmtId="0" fontId="7" fillId="0" borderId="24" xfId="57" applyFont="1" applyBorder="1"/>
    <xf numFmtId="0" fontId="7" fillId="0" borderId="24" xfId="57" applyFont="1" applyBorder="1" applyAlignment="1">
      <alignment horizontal="center" wrapText="1"/>
    </xf>
    <xf numFmtId="49" fontId="39" fillId="0" borderId="54" xfId="62" applyNumberFormat="1" applyFont="1" applyBorder="1"/>
    <xf numFmtId="49" fontId="39" fillId="0" borderId="25" xfId="62" applyNumberFormat="1" applyFont="1" applyBorder="1"/>
    <xf numFmtId="0" fontId="8" fillId="32" borderId="1" xfId="44" applyFont="1" applyFill="1" applyBorder="1" applyAlignment="1">
      <alignment vertical="center" wrapText="1"/>
    </xf>
    <xf numFmtId="0" fontId="9" fillId="32" borderId="7" xfId="0" applyFont="1" applyFill="1" applyBorder="1" applyAlignment="1" applyProtection="1">
      <alignment horizontal="center" vertical="center"/>
      <protection locked="0"/>
    </xf>
    <xf numFmtId="0" fontId="6" fillId="38" borderId="45" xfId="0" applyFont="1" applyFill="1" applyBorder="1" applyAlignment="1">
      <alignment horizontal="center" vertical="center" wrapText="1"/>
    </xf>
    <xf numFmtId="0" fontId="6" fillId="38" borderId="1" xfId="0" applyFont="1" applyFill="1" applyBorder="1" applyAlignment="1">
      <alignment horizontal="center" vertical="center" wrapText="1"/>
    </xf>
    <xf numFmtId="0" fontId="6" fillId="38" borderId="51" xfId="0" applyFont="1" applyFill="1" applyBorder="1" applyAlignment="1">
      <alignment horizontal="center" vertical="center" wrapText="1"/>
    </xf>
    <xf numFmtId="0" fontId="5" fillId="38" borderId="0" xfId="0" applyFont="1" applyFill="1" applyAlignment="1">
      <alignment horizontal="center" vertical="center"/>
    </xf>
    <xf numFmtId="0" fontId="6" fillId="38" borderId="2" xfId="0" applyFont="1" applyFill="1" applyBorder="1" applyAlignment="1">
      <alignment horizontal="center" vertical="center" wrapText="1"/>
    </xf>
    <xf numFmtId="0" fontId="9" fillId="0" borderId="1" xfId="0" applyFont="1" applyBorder="1" applyAlignment="1" applyProtection="1">
      <alignment horizontal="center" vertical="center"/>
      <protection locked="0"/>
    </xf>
    <xf numFmtId="0" fontId="9" fillId="0" borderId="10" xfId="0" applyFont="1" applyBorder="1" applyAlignment="1" applyProtection="1">
      <alignment horizontal="center" vertical="center"/>
      <protection locked="0"/>
    </xf>
    <xf numFmtId="0" fontId="5" fillId="38" borderId="8" xfId="44" applyFont="1" applyFill="1" applyBorder="1" applyAlignment="1">
      <alignment vertical="center" textRotation="255" wrapText="1"/>
    </xf>
    <xf numFmtId="0" fontId="8" fillId="0" borderId="0" xfId="44" applyFont="1" applyAlignment="1">
      <alignment horizontal="center" vertical="center" wrapText="1"/>
    </xf>
    <xf numFmtId="0" fontId="33" fillId="0" borderId="0" xfId="57" applyFont="1" applyAlignment="1">
      <alignment horizontal="center" wrapText="1"/>
    </xf>
    <xf numFmtId="0" fontId="7" fillId="0" borderId="0" xfId="57" applyFont="1" applyAlignment="1">
      <alignment horizontal="center" vertical="center" wrapText="1"/>
    </xf>
    <xf numFmtId="0" fontId="15" fillId="0" borderId="0" xfId="58" applyFont="1" applyAlignment="1">
      <alignment horizontal="center" vertical="center" wrapText="1"/>
    </xf>
    <xf numFmtId="0" fontId="27" fillId="0" borderId="0" xfId="0" applyFont="1" applyAlignment="1">
      <alignment horizontal="center" vertical="center"/>
    </xf>
    <xf numFmtId="0" fontId="27" fillId="0" borderId="47" xfId="0" applyFont="1" applyBorder="1" applyAlignment="1">
      <alignment horizontal="center" vertical="center"/>
    </xf>
    <xf numFmtId="0" fontId="27" fillId="0" borderId="45" xfId="0" applyFont="1" applyBorder="1" applyAlignment="1">
      <alignment horizontal="center" vertical="center"/>
    </xf>
    <xf numFmtId="1" fontId="27" fillId="0" borderId="45" xfId="0" applyNumberFormat="1" applyFont="1" applyBorder="1" applyAlignment="1">
      <alignment horizontal="center" vertical="center"/>
    </xf>
    <xf numFmtId="0" fontId="27" fillId="42" borderId="49" xfId="0" applyFont="1" applyFill="1" applyBorder="1" applyAlignment="1">
      <alignment horizontal="center" vertical="center"/>
    </xf>
    <xf numFmtId="0" fontId="27" fillId="42" borderId="29" xfId="0" applyFont="1" applyFill="1" applyBorder="1" applyAlignment="1">
      <alignment horizontal="center" vertical="center"/>
    </xf>
    <xf numFmtId="0" fontId="27" fillId="42" borderId="4" xfId="0" applyFont="1" applyFill="1" applyBorder="1" applyAlignment="1">
      <alignment horizontal="center" vertical="center"/>
    </xf>
    <xf numFmtId="0" fontId="27" fillId="42" borderId="16" xfId="0" applyFont="1" applyFill="1" applyBorder="1" applyAlignment="1">
      <alignment horizontal="center" vertical="center"/>
    </xf>
    <xf numFmtId="0" fontId="9" fillId="0" borderId="8" xfId="0" applyFont="1" applyBorder="1" applyAlignment="1" applyProtection="1">
      <alignment horizontal="center" vertical="center"/>
      <protection locked="0"/>
    </xf>
    <xf numFmtId="0" fontId="6" fillId="0" borderId="0" xfId="0" applyFont="1" applyAlignment="1">
      <alignment vertical="center"/>
    </xf>
    <xf numFmtId="0" fontId="9" fillId="0" borderId="48" xfId="0" applyFont="1" applyBorder="1" applyAlignment="1" applyProtection="1">
      <alignment horizontal="center" vertical="center"/>
      <protection locked="0"/>
    </xf>
    <xf numFmtId="164" fontId="46" fillId="32" borderId="8" xfId="0" applyNumberFormat="1" applyFont="1" applyFill="1" applyBorder="1" applyAlignment="1" applyProtection="1">
      <alignment horizontal="center" vertical="center"/>
      <protection locked="0"/>
    </xf>
    <xf numFmtId="0" fontId="6" fillId="0" borderId="53" xfId="0" applyFont="1" applyBorder="1" applyAlignment="1">
      <alignment vertical="center"/>
    </xf>
    <xf numFmtId="0" fontId="6" fillId="0" borderId="53" xfId="0" applyFont="1" applyBorder="1"/>
    <xf numFmtId="0" fontId="46" fillId="32" borderId="1" xfId="44" applyFont="1" applyFill="1" applyBorder="1" applyAlignment="1">
      <alignment horizontal="center" vertical="center" wrapText="1"/>
    </xf>
    <xf numFmtId="0" fontId="5" fillId="38" borderId="8" xfId="44" applyFont="1" applyFill="1" applyBorder="1" applyAlignment="1">
      <alignment horizontal="center" vertical="center" textRotation="255" wrapText="1"/>
    </xf>
    <xf numFmtId="0" fontId="48" fillId="32" borderId="1" xfId="0" applyFont="1" applyFill="1" applyBorder="1" applyAlignment="1">
      <alignment vertical="center" wrapText="1"/>
    </xf>
    <xf numFmtId="0" fontId="48" fillId="32" borderId="1" xfId="0" applyFont="1" applyFill="1" applyBorder="1" applyAlignment="1">
      <alignment horizontal="center" vertical="center" wrapText="1"/>
    </xf>
    <xf numFmtId="0" fontId="48" fillId="32" borderId="1" xfId="0" applyFont="1" applyFill="1" applyBorder="1" applyAlignment="1">
      <alignment horizontal="left" vertical="center" wrapText="1"/>
    </xf>
    <xf numFmtId="0" fontId="48" fillId="0" borderId="1" xfId="0" applyFont="1" applyBorder="1" applyAlignment="1">
      <alignment vertical="center"/>
    </xf>
    <xf numFmtId="0" fontId="48" fillId="32" borderId="1" xfId="0" applyFont="1" applyFill="1" applyBorder="1" applyAlignment="1">
      <alignment horizontal="left" vertical="center"/>
    </xf>
    <xf numFmtId="0" fontId="49" fillId="38" borderId="26" xfId="0" applyFont="1" applyFill="1" applyBorder="1" applyAlignment="1">
      <alignment horizontal="center" vertical="center" wrapText="1"/>
    </xf>
    <xf numFmtId="0" fontId="27" fillId="0" borderId="1" xfId="0" applyFont="1" applyBorder="1" applyAlignment="1">
      <alignment horizontal="center"/>
    </xf>
    <xf numFmtId="0" fontId="1" fillId="0" borderId="0" xfId="71"/>
    <xf numFmtId="0" fontId="1" fillId="0" borderId="0" xfId="71" applyAlignment="1">
      <alignment wrapText="1"/>
    </xf>
    <xf numFmtId="0" fontId="1" fillId="0" borderId="0" xfId="71" applyAlignment="1">
      <alignment horizontal="center"/>
    </xf>
    <xf numFmtId="0" fontId="9" fillId="32" borderId="1" xfId="0" applyFont="1" applyFill="1" applyBorder="1" applyAlignment="1" applyProtection="1">
      <alignment horizontal="center" vertical="center"/>
      <protection locked="0"/>
    </xf>
    <xf numFmtId="0" fontId="9" fillId="32" borderId="8" xfId="0" applyFont="1" applyFill="1" applyBorder="1" applyAlignment="1" applyProtection="1">
      <alignment horizontal="center" vertical="center"/>
      <protection locked="0"/>
    </xf>
    <xf numFmtId="0" fontId="5" fillId="38" borderId="48" xfId="44" applyFont="1" applyFill="1" applyBorder="1" applyAlignment="1">
      <alignment horizontal="center" vertical="center" textRotation="255" wrapText="1"/>
    </xf>
    <xf numFmtId="0" fontId="6" fillId="0" borderId="1" xfId="0" applyFont="1" applyBorder="1"/>
    <xf numFmtId="0" fontId="9" fillId="32" borderId="2" xfId="0" applyFont="1" applyFill="1" applyBorder="1" applyAlignment="1" applyProtection="1">
      <alignment horizontal="center" vertical="center"/>
      <protection locked="0"/>
    </xf>
    <xf numFmtId="0" fontId="9" fillId="32" borderId="48" xfId="0" applyFont="1" applyFill="1" applyBorder="1" applyAlignment="1" applyProtection="1">
      <alignment horizontal="center" vertical="center"/>
      <protection locked="0"/>
    </xf>
    <xf numFmtId="14" fontId="9" fillId="0" borderId="0" xfId="0" applyNumberFormat="1" applyFont="1" applyAlignment="1">
      <alignment vertical="center"/>
    </xf>
    <xf numFmtId="0" fontId="51" fillId="0" borderId="0" xfId="73" applyBorder="1" applyAlignment="1">
      <alignment vertical="center"/>
    </xf>
    <xf numFmtId="0" fontId="6" fillId="0" borderId="8" xfId="0" applyFont="1" applyBorder="1"/>
    <xf numFmtId="0" fontId="6" fillId="0" borderId="7" xfId="0" applyFont="1" applyBorder="1"/>
    <xf numFmtId="0" fontId="9" fillId="0" borderId="38" xfId="0" applyFont="1" applyBorder="1" applyAlignment="1" applyProtection="1">
      <alignment horizontal="center" vertical="center"/>
      <protection locked="0"/>
    </xf>
    <xf numFmtId="0" fontId="52" fillId="33" borderId="1" xfId="44" applyFont="1" applyFill="1" applyBorder="1" applyAlignment="1">
      <alignment horizontal="center" vertical="center" wrapText="1"/>
    </xf>
    <xf numFmtId="9" fontId="55" fillId="40" borderId="13" xfId="44" applyNumberFormat="1" applyFont="1" applyFill="1" applyBorder="1" applyAlignment="1">
      <alignment horizontal="center" vertical="center" wrapText="1"/>
    </xf>
    <xf numFmtId="0" fontId="55" fillId="40" borderId="12" xfId="44" applyFont="1" applyFill="1" applyBorder="1" applyAlignment="1">
      <alignment horizontal="center" vertical="center" wrapText="1"/>
    </xf>
    <xf numFmtId="9" fontId="55" fillId="40" borderId="13" xfId="44" applyNumberFormat="1" applyFont="1" applyFill="1" applyBorder="1" applyAlignment="1">
      <alignment horizontal="center" vertical="center"/>
    </xf>
    <xf numFmtId="0" fontId="55" fillId="40" borderId="62" xfId="44" applyFont="1" applyFill="1" applyBorder="1" applyAlignment="1">
      <alignment horizontal="center" vertical="center" wrapText="1"/>
    </xf>
    <xf numFmtId="9" fontId="55" fillId="40" borderId="63" xfId="44" applyNumberFormat="1" applyFont="1" applyFill="1" applyBorder="1" applyAlignment="1">
      <alignment horizontal="center" vertical="center"/>
    </xf>
    <xf numFmtId="9" fontId="55" fillId="40" borderId="63" xfId="44" applyNumberFormat="1" applyFont="1" applyFill="1" applyBorder="1" applyAlignment="1">
      <alignment horizontal="center" vertical="center" wrapText="1"/>
    </xf>
    <xf numFmtId="0" fontId="46" fillId="40" borderId="50" xfId="44" applyFont="1" applyFill="1" applyBorder="1" applyAlignment="1">
      <alignment horizontal="center" vertical="center"/>
    </xf>
    <xf numFmtId="0" fontId="46" fillId="40" borderId="60" xfId="44" applyFont="1" applyFill="1" applyBorder="1" applyAlignment="1">
      <alignment horizontal="center" vertical="center"/>
    </xf>
    <xf numFmtId="0" fontId="0" fillId="0" borderId="0" xfId="0" applyAlignment="1">
      <alignment horizontal="center"/>
    </xf>
    <xf numFmtId="0" fontId="56" fillId="38" borderId="26" xfId="71" applyFont="1" applyFill="1" applyBorder="1" applyAlignment="1">
      <alignment vertical="center" textRotation="255" wrapText="1"/>
    </xf>
    <xf numFmtId="0" fontId="56" fillId="38" borderId="72" xfId="71" applyFont="1" applyFill="1" applyBorder="1" applyAlignment="1">
      <alignment vertical="center" textRotation="255" wrapText="1"/>
    </xf>
    <xf numFmtId="0" fontId="56" fillId="38" borderId="27" xfId="71" applyFont="1" applyFill="1" applyBorder="1" applyAlignment="1">
      <alignment vertical="center" textRotation="255" wrapText="1"/>
    </xf>
    <xf numFmtId="0" fontId="57" fillId="39" borderId="1" xfId="71" applyFont="1" applyFill="1" applyBorder="1" applyAlignment="1">
      <alignment horizontal="center" vertical="center"/>
    </xf>
    <xf numFmtId="0" fontId="9" fillId="39" borderId="1" xfId="71" applyFont="1" applyFill="1" applyBorder="1" applyAlignment="1">
      <alignment horizontal="center" vertical="center"/>
    </xf>
    <xf numFmtId="0" fontId="9" fillId="39" borderId="11" xfId="71" applyFont="1" applyFill="1" applyBorder="1" applyAlignment="1">
      <alignment horizontal="center" vertical="center"/>
    </xf>
    <xf numFmtId="0" fontId="9" fillId="39" borderId="10" xfId="71" applyFont="1" applyFill="1" applyBorder="1" applyAlignment="1">
      <alignment horizontal="center" vertical="center"/>
    </xf>
    <xf numFmtId="9" fontId="9" fillId="40" borderId="2" xfId="71" applyNumberFormat="1" applyFont="1" applyFill="1" applyBorder="1" applyAlignment="1">
      <alignment horizontal="center" vertical="center" wrapText="1"/>
    </xf>
    <xf numFmtId="9" fontId="9" fillId="40" borderId="1" xfId="71" applyNumberFormat="1" applyFont="1" applyFill="1" applyBorder="1" applyAlignment="1">
      <alignment horizontal="center" vertical="center" wrapText="1"/>
    </xf>
    <xf numFmtId="0" fontId="35" fillId="33" borderId="1" xfId="71" applyFont="1" applyFill="1" applyBorder="1" applyAlignment="1">
      <alignment horizontal="center" vertical="center" wrapText="1"/>
    </xf>
    <xf numFmtId="1" fontId="57" fillId="0" borderId="1" xfId="71" applyNumberFormat="1" applyFont="1" applyBorder="1" applyAlignment="1">
      <alignment horizontal="center" vertical="center"/>
    </xf>
    <xf numFmtId="1" fontId="9" fillId="0" borderId="1" xfId="71" applyNumberFormat="1" applyFont="1" applyBorder="1" applyAlignment="1">
      <alignment horizontal="center" vertical="center"/>
    </xf>
    <xf numFmtId="1" fontId="9" fillId="0" borderId="11" xfId="71" applyNumberFormat="1" applyFont="1" applyBorder="1" applyAlignment="1">
      <alignment horizontal="center" vertical="center"/>
    </xf>
    <xf numFmtId="0" fontId="35" fillId="39" borderId="1" xfId="71" applyFont="1" applyFill="1" applyBorder="1" applyAlignment="1">
      <alignment horizontal="center" vertical="center" wrapText="1"/>
    </xf>
    <xf numFmtId="1" fontId="9" fillId="0" borderId="13" xfId="71" applyNumberFormat="1" applyFont="1" applyBorder="1" applyAlignment="1">
      <alignment horizontal="center" vertical="center"/>
    </xf>
    <xf numFmtId="1" fontId="9" fillId="0" borderId="14" xfId="71" applyNumberFormat="1" applyFont="1" applyBorder="1" applyAlignment="1">
      <alignment horizontal="center" vertical="center"/>
    </xf>
    <xf numFmtId="0" fontId="35" fillId="0" borderId="0" xfId="71" applyFont="1"/>
    <xf numFmtId="0" fontId="35" fillId="0" borderId="0" xfId="71" applyFont="1" applyAlignment="1">
      <alignment wrapText="1"/>
    </xf>
    <xf numFmtId="0" fontId="35" fillId="0" borderId="0" xfId="71" applyFont="1" applyAlignment="1">
      <alignment horizontal="center"/>
    </xf>
    <xf numFmtId="0" fontId="5" fillId="38" borderId="26" xfId="71" applyFont="1" applyFill="1" applyBorder="1" applyAlignment="1">
      <alignment vertical="center" textRotation="255" wrapText="1"/>
    </xf>
    <xf numFmtId="0" fontId="5" fillId="33" borderId="1" xfId="71" applyFont="1" applyFill="1" applyBorder="1" applyAlignment="1">
      <alignment horizontal="center" vertical="center"/>
    </xf>
    <xf numFmtId="0" fontId="5" fillId="33" borderId="1" xfId="71" applyFont="1" applyFill="1" applyBorder="1" applyAlignment="1">
      <alignment vertical="center" textRotation="255" wrapText="1"/>
    </xf>
    <xf numFmtId="0" fontId="6" fillId="33" borderId="1" xfId="71" applyFont="1" applyFill="1" applyBorder="1" applyAlignment="1">
      <alignment horizontal="center" vertical="center" wrapText="1"/>
    </xf>
    <xf numFmtId="0" fontId="5" fillId="39" borderId="1" xfId="71" applyFont="1" applyFill="1" applyBorder="1" applyAlignment="1">
      <alignment horizontal="center" vertical="center"/>
    </xf>
    <xf numFmtId="0" fontId="6" fillId="39" borderId="1" xfId="71" applyFont="1" applyFill="1" applyBorder="1" applyAlignment="1">
      <alignment horizontal="center" vertical="center" wrapText="1"/>
    </xf>
    <xf numFmtId="0" fontId="6" fillId="39" borderId="1" xfId="71" applyFont="1" applyFill="1" applyBorder="1" applyAlignment="1">
      <alignment horizontal="left" vertical="center" wrapText="1"/>
    </xf>
    <xf numFmtId="0" fontId="6" fillId="39" borderId="3" xfId="71" applyFont="1" applyFill="1" applyBorder="1" applyAlignment="1">
      <alignment horizontal="center" vertical="center" wrapText="1"/>
    </xf>
    <xf numFmtId="0" fontId="6" fillId="39" borderId="1" xfId="71" applyFont="1" applyFill="1" applyBorder="1" applyAlignment="1">
      <alignment horizontal="left" vertical="top" wrapText="1"/>
    </xf>
    <xf numFmtId="0" fontId="0" fillId="0" borderId="0" xfId="0" applyAlignment="1">
      <alignment horizontal="center" vertical="center"/>
    </xf>
    <xf numFmtId="164" fontId="46" fillId="32" borderId="52" xfId="0" applyNumberFormat="1" applyFont="1" applyFill="1" applyBorder="1" applyAlignment="1" applyProtection="1">
      <alignment horizontal="center" vertical="center"/>
      <protection locked="0"/>
    </xf>
    <xf numFmtId="0" fontId="59" fillId="34" borderId="15" xfId="0" applyFont="1" applyFill="1" applyBorder="1" applyAlignment="1">
      <alignment horizontal="center" vertical="center"/>
    </xf>
    <xf numFmtId="0" fontId="59" fillId="34" borderId="56" xfId="0" applyFont="1" applyFill="1" applyBorder="1" applyAlignment="1">
      <alignment horizontal="center" vertical="center"/>
    </xf>
    <xf numFmtId="0" fontId="59" fillId="34" borderId="75" xfId="0" applyFont="1" applyFill="1" applyBorder="1" applyAlignment="1">
      <alignment horizontal="center" vertical="center"/>
    </xf>
    <xf numFmtId="0" fontId="37" fillId="0" borderId="49" xfId="0" applyFont="1" applyBorder="1" applyAlignment="1">
      <alignment horizontal="center" vertical="center" textRotation="90" wrapText="1"/>
    </xf>
    <xf numFmtId="0" fontId="37" fillId="0" borderId="5" xfId="0" applyFont="1" applyBorder="1" applyAlignment="1">
      <alignment horizontal="center" vertical="center" textRotation="90" wrapText="1"/>
    </xf>
    <xf numFmtId="0" fontId="37" fillId="0" borderId="76" xfId="0" applyFont="1" applyBorder="1" applyAlignment="1">
      <alignment horizontal="center" vertical="center" textRotation="90" wrapText="1"/>
    </xf>
    <xf numFmtId="0" fontId="37" fillId="0" borderId="4" xfId="0" applyFont="1" applyBorder="1" applyAlignment="1">
      <alignment horizontal="center" vertical="center" textRotation="90" wrapText="1"/>
    </xf>
    <xf numFmtId="0" fontId="37" fillId="0" borderId="6" xfId="0" applyFont="1" applyBorder="1" applyAlignment="1">
      <alignment horizontal="center" vertical="center" textRotation="90" wrapText="1"/>
    </xf>
    <xf numFmtId="0" fontId="6" fillId="32" borderId="1" xfId="0" applyFont="1" applyFill="1" applyBorder="1" applyAlignment="1" applyProtection="1">
      <alignment horizontal="center" vertical="center"/>
      <protection locked="0"/>
    </xf>
    <xf numFmtId="0" fontId="6" fillId="32" borderId="2" xfId="0" applyFont="1" applyFill="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14" fontId="6" fillId="32" borderId="11" xfId="0" applyNumberFormat="1" applyFont="1" applyFill="1" applyBorder="1" applyAlignment="1" applyProtection="1">
      <alignment horizontal="center" vertical="center"/>
      <protection locked="0"/>
    </xf>
    <xf numFmtId="14" fontId="46" fillId="32" borderId="11" xfId="0" applyNumberFormat="1" applyFont="1" applyFill="1" applyBorder="1" applyAlignment="1" applyProtection="1">
      <alignment horizontal="center" vertical="center"/>
      <protection locked="0"/>
    </xf>
    <xf numFmtId="0" fontId="6" fillId="0" borderId="38" xfId="0" applyFont="1" applyBorder="1" applyAlignment="1" applyProtection="1">
      <alignment horizontal="center" vertical="center"/>
      <protection locked="0"/>
    </xf>
    <xf numFmtId="0" fontId="6" fillId="32" borderId="10" xfId="0" applyFont="1" applyFill="1" applyBorder="1" applyAlignment="1" applyProtection="1">
      <alignment horizontal="center" vertical="center"/>
      <protection locked="0"/>
    </xf>
    <xf numFmtId="0" fontId="6" fillId="32" borderId="11" xfId="0" applyFont="1" applyFill="1" applyBorder="1" applyAlignment="1" applyProtection="1">
      <alignment horizontal="center" vertical="center"/>
      <protection locked="0"/>
    </xf>
    <xf numFmtId="0" fontId="46" fillId="0" borderId="2" xfId="0" applyFont="1" applyBorder="1" applyAlignment="1" applyProtection="1">
      <alignment horizontal="center" vertical="center"/>
      <protection locked="0"/>
    </xf>
    <xf numFmtId="0" fontId="46" fillId="0" borderId="1" xfId="0" applyFont="1" applyBorder="1" applyAlignment="1" applyProtection="1">
      <alignment horizontal="center" vertical="center"/>
      <protection locked="0"/>
    </xf>
    <xf numFmtId="0" fontId="46" fillId="0" borderId="10" xfId="0" applyFont="1" applyBorder="1" applyAlignment="1" applyProtection="1">
      <alignment horizontal="center" vertical="center"/>
      <protection locked="0"/>
    </xf>
    <xf numFmtId="0" fontId="46" fillId="44" borderId="1" xfId="0" applyFont="1" applyFill="1" applyBorder="1" applyAlignment="1" applyProtection="1">
      <alignment horizontal="center" vertical="center"/>
      <protection locked="0"/>
    </xf>
    <xf numFmtId="0" fontId="46" fillId="0" borderId="40" xfId="0" applyFont="1" applyBorder="1" applyAlignment="1" applyProtection="1">
      <alignment horizontal="center" vertical="center"/>
      <protection locked="0"/>
    </xf>
    <xf numFmtId="0" fontId="46" fillId="32" borderId="48" xfId="0" applyFont="1" applyFill="1" applyBorder="1" applyAlignment="1" applyProtection="1">
      <alignment horizontal="center" vertical="center"/>
      <protection locked="0"/>
    </xf>
    <xf numFmtId="0" fontId="46" fillId="0" borderId="48" xfId="0" applyFont="1" applyBorder="1" applyAlignment="1" applyProtection="1">
      <alignment horizontal="center" vertical="center"/>
      <protection locked="0"/>
    </xf>
    <xf numFmtId="0" fontId="46" fillId="32" borderId="1" xfId="0" applyFont="1" applyFill="1" applyBorder="1" applyAlignment="1" applyProtection="1">
      <alignment horizontal="center" vertical="center"/>
      <protection locked="0"/>
    </xf>
    <xf numFmtId="0" fontId="46" fillId="0" borderId="8" xfId="0" applyFont="1" applyBorder="1" applyAlignment="1" applyProtection="1">
      <alignment horizontal="center" vertical="center"/>
      <protection locked="0"/>
    </xf>
    <xf numFmtId="0" fontId="46" fillId="0" borderId="7" xfId="0" applyFont="1" applyBorder="1" applyAlignment="1" applyProtection="1">
      <alignment horizontal="center" vertical="center"/>
      <protection locked="0"/>
    </xf>
    <xf numFmtId="0" fontId="46" fillId="0" borderId="3" xfId="0" applyFont="1" applyBorder="1" applyAlignment="1" applyProtection="1">
      <alignment horizontal="center" vertical="center"/>
      <protection locked="0"/>
    </xf>
    <xf numFmtId="0" fontId="46" fillId="0" borderId="11" xfId="0" applyFont="1" applyBorder="1" applyAlignment="1" applyProtection="1">
      <alignment horizontal="center" vertical="center"/>
      <protection locked="0"/>
    </xf>
    <xf numFmtId="14" fontId="46" fillId="32" borderId="3" xfId="0" applyNumberFormat="1" applyFont="1" applyFill="1" applyBorder="1" applyAlignment="1" applyProtection="1">
      <alignment horizontal="center" vertical="center"/>
      <protection locked="0"/>
    </xf>
    <xf numFmtId="0" fontId="46" fillId="32" borderId="2" xfId="0" applyFont="1" applyFill="1" applyBorder="1" applyAlignment="1" applyProtection="1">
      <alignment horizontal="center" vertical="center"/>
      <protection locked="0"/>
    </xf>
    <xf numFmtId="0" fontId="46" fillId="32" borderId="8" xfId="0" applyFont="1" applyFill="1" applyBorder="1" applyAlignment="1" applyProtection="1">
      <alignment horizontal="center" vertical="center"/>
      <protection locked="0"/>
    </xf>
    <xf numFmtId="0" fontId="46" fillId="32" borderId="18" xfId="0" applyFont="1" applyFill="1" applyBorder="1" applyAlignment="1" applyProtection="1">
      <alignment horizontal="center" vertical="center"/>
      <protection locked="0"/>
    </xf>
    <xf numFmtId="0" fontId="37" fillId="0" borderId="11" xfId="0" applyFont="1" applyBorder="1" applyAlignment="1" applyProtection="1">
      <alignment horizontal="center" vertical="center"/>
      <protection locked="0"/>
    </xf>
    <xf numFmtId="0" fontId="58" fillId="32" borderId="1" xfId="0" applyFont="1" applyFill="1" applyBorder="1" applyAlignment="1">
      <alignment horizontal="left" vertical="center" wrapText="1"/>
    </xf>
    <xf numFmtId="0" fontId="46" fillId="32" borderId="1" xfId="0" applyFont="1" applyFill="1" applyBorder="1" applyAlignment="1">
      <alignment horizontal="left" vertical="center" wrapText="1"/>
    </xf>
    <xf numFmtId="14" fontId="6" fillId="0" borderId="40" xfId="0" applyNumberFormat="1" applyFont="1" applyBorder="1" applyAlignment="1" applyProtection="1">
      <alignment horizontal="center" vertical="center"/>
      <protection locked="0"/>
    </xf>
    <xf numFmtId="14" fontId="6" fillId="0" borderId="11" xfId="0" applyNumberFormat="1" applyFont="1" applyBorder="1" applyAlignment="1" applyProtection="1">
      <alignment horizontal="center" vertical="center"/>
      <protection locked="0"/>
    </xf>
    <xf numFmtId="0" fontId="61" fillId="0" borderId="0" xfId="0" applyFont="1" applyAlignment="1">
      <alignment horizontal="center" vertical="center"/>
    </xf>
    <xf numFmtId="0" fontId="57" fillId="0" borderId="0" xfId="0" applyFont="1" applyAlignment="1">
      <alignment vertical="center"/>
    </xf>
    <xf numFmtId="0" fontId="60" fillId="0" borderId="0" xfId="0" applyFont="1"/>
    <xf numFmtId="14" fontId="46" fillId="32" borderId="1" xfId="0" applyNumberFormat="1" applyFont="1" applyFill="1" applyBorder="1" applyAlignment="1">
      <alignment horizontal="center" vertical="center" wrapText="1"/>
    </xf>
    <xf numFmtId="0" fontId="9" fillId="32" borderId="3" xfId="0" applyFont="1" applyFill="1" applyBorder="1" applyAlignment="1" applyProtection="1">
      <alignment horizontal="center" vertical="center"/>
      <protection locked="0"/>
    </xf>
    <xf numFmtId="164" fontId="46" fillId="32" borderId="1" xfId="0" applyNumberFormat="1" applyFont="1" applyFill="1" applyBorder="1" applyAlignment="1" applyProtection="1">
      <alignment horizontal="center" vertical="center"/>
      <protection locked="0"/>
    </xf>
    <xf numFmtId="0" fontId="46" fillId="0" borderId="1" xfId="0" applyFont="1" applyBorder="1" applyAlignment="1">
      <alignment horizontal="center"/>
    </xf>
    <xf numFmtId="0" fontId="46" fillId="0" borderId="11" xfId="0" applyFont="1" applyBorder="1" applyAlignment="1" applyProtection="1">
      <alignment horizontal="center" vertical="center" wrapText="1"/>
      <protection locked="0"/>
    </xf>
    <xf numFmtId="0" fontId="6" fillId="32" borderId="3" xfId="0" applyFont="1" applyFill="1" applyBorder="1" applyAlignment="1" applyProtection="1">
      <alignment horizontal="center" vertical="center"/>
      <protection locked="0"/>
    </xf>
    <xf numFmtId="0" fontId="6" fillId="32" borderId="0" xfId="0" applyFont="1" applyFill="1"/>
    <xf numFmtId="0" fontId="46" fillId="32" borderId="0" xfId="0" applyFont="1" applyFill="1" applyAlignment="1" applyProtection="1">
      <alignment horizontal="center" vertical="center"/>
      <protection locked="0"/>
    </xf>
    <xf numFmtId="3" fontId="58" fillId="32" borderId="3" xfId="0" applyNumberFormat="1" applyFont="1" applyFill="1" applyBorder="1" applyAlignment="1">
      <alignment horizontal="center" vertical="center" wrapText="1"/>
    </xf>
    <xf numFmtId="3" fontId="46" fillId="32" borderId="3" xfId="0" applyNumberFormat="1" applyFont="1" applyFill="1" applyBorder="1" applyAlignment="1">
      <alignment horizontal="center" vertical="center" wrapText="1"/>
    </xf>
    <xf numFmtId="0" fontId="58" fillId="32" borderId="3" xfId="0" applyFont="1" applyFill="1" applyBorder="1" applyAlignment="1">
      <alignment horizontal="center" vertical="center" wrapText="1"/>
    </xf>
    <xf numFmtId="0" fontId="58" fillId="43" borderId="2" xfId="0" applyFont="1" applyFill="1" applyBorder="1" applyAlignment="1">
      <alignment vertical="center" wrapText="1"/>
    </xf>
    <xf numFmtId="0" fontId="46" fillId="43" borderId="2" xfId="0" applyFont="1" applyFill="1" applyBorder="1" applyAlignment="1">
      <alignment vertical="center" wrapText="1"/>
    </xf>
    <xf numFmtId="14" fontId="58" fillId="32" borderId="1" xfId="0" applyNumberFormat="1" applyFont="1" applyFill="1" applyBorder="1" applyAlignment="1">
      <alignment horizontal="center" vertical="center" wrapText="1"/>
    </xf>
    <xf numFmtId="3" fontId="58" fillId="32" borderId="1" xfId="0" applyNumberFormat="1" applyFont="1" applyFill="1" applyBorder="1" applyAlignment="1">
      <alignment horizontal="center" vertical="center" wrapText="1"/>
    </xf>
    <xf numFmtId="0" fontId="58" fillId="43" borderId="1" xfId="0" applyFont="1" applyFill="1" applyBorder="1" applyAlignment="1">
      <alignment vertical="center" wrapText="1"/>
    </xf>
    <xf numFmtId="3" fontId="58" fillId="32" borderId="8" xfId="0" applyNumberFormat="1" applyFont="1" applyFill="1" applyBorder="1" applyAlignment="1">
      <alignment horizontal="center" vertical="center" wrapText="1"/>
    </xf>
    <xf numFmtId="0" fontId="58" fillId="43" borderId="8" xfId="0" applyFont="1" applyFill="1" applyBorder="1" applyAlignment="1">
      <alignment vertical="center" wrapText="1"/>
    </xf>
    <xf numFmtId="14" fontId="46" fillId="32" borderId="8" xfId="0" applyNumberFormat="1" applyFont="1" applyFill="1" applyBorder="1" applyAlignment="1">
      <alignment horizontal="center" vertical="center" wrapText="1"/>
    </xf>
    <xf numFmtId="14" fontId="37" fillId="32" borderId="3" xfId="0" applyNumberFormat="1" applyFont="1" applyFill="1" applyBorder="1" applyAlignment="1" applyProtection="1">
      <alignment horizontal="center" vertical="center"/>
      <protection locked="0"/>
    </xf>
    <xf numFmtId="14" fontId="46" fillId="32" borderId="9" xfId="0" applyNumberFormat="1" applyFont="1" applyFill="1" applyBorder="1" applyAlignment="1" applyProtection="1">
      <alignment horizontal="center" vertical="center"/>
      <protection locked="0"/>
    </xf>
    <xf numFmtId="14" fontId="6" fillId="32" borderId="3" xfId="0" applyNumberFormat="1" applyFont="1" applyFill="1" applyBorder="1" applyAlignment="1" applyProtection="1">
      <alignment horizontal="center" vertical="center"/>
      <protection locked="0"/>
    </xf>
    <xf numFmtId="0" fontId="37" fillId="0" borderId="3" xfId="0" applyFont="1" applyBorder="1" applyAlignment="1" applyProtection="1">
      <alignment horizontal="center" vertical="center"/>
      <protection locked="0"/>
    </xf>
    <xf numFmtId="0" fontId="6" fillId="0" borderId="10" xfId="0" applyFont="1" applyBorder="1"/>
    <xf numFmtId="0" fontId="6" fillId="0" borderId="11" xfId="0" applyFont="1" applyBorder="1"/>
    <xf numFmtId="0" fontId="6" fillId="0" borderId="9" xfId="0" applyFont="1" applyBorder="1"/>
    <xf numFmtId="14" fontId="46" fillId="32" borderId="19" xfId="0" applyNumberFormat="1" applyFont="1" applyFill="1" applyBorder="1" applyAlignment="1" applyProtection="1">
      <alignment horizontal="center" vertical="center"/>
      <protection locked="0"/>
    </xf>
    <xf numFmtId="0" fontId="46" fillId="32" borderId="10" xfId="0" applyFont="1" applyFill="1" applyBorder="1" applyAlignment="1" applyProtection="1">
      <alignment horizontal="center" vertical="center"/>
      <protection locked="0"/>
    </xf>
    <xf numFmtId="0" fontId="46" fillId="32" borderId="11" xfId="0" applyFont="1" applyFill="1" applyBorder="1" applyAlignment="1" applyProtection="1">
      <alignment horizontal="center" vertical="center" wrapText="1"/>
      <protection locked="0"/>
    </xf>
    <xf numFmtId="0" fontId="9" fillId="32" borderId="10" xfId="0" applyFont="1" applyFill="1" applyBorder="1" applyAlignment="1" applyProtection="1">
      <alignment horizontal="center" vertical="center"/>
      <protection locked="0"/>
    </xf>
    <xf numFmtId="1" fontId="57" fillId="32" borderId="1" xfId="71" applyNumberFormat="1" applyFont="1" applyFill="1" applyBorder="1" applyAlignment="1">
      <alignment horizontal="center" vertical="center"/>
    </xf>
    <xf numFmtId="0" fontId="57" fillId="39" borderId="11" xfId="71" applyFont="1" applyFill="1" applyBorder="1" applyAlignment="1">
      <alignment horizontal="center" vertical="center"/>
    </xf>
    <xf numFmtId="0" fontId="57" fillId="39" borderId="10" xfId="71" applyFont="1" applyFill="1" applyBorder="1" applyAlignment="1">
      <alignment horizontal="center" vertical="center"/>
    </xf>
    <xf numFmtId="1" fontId="57" fillId="0" borderId="10" xfId="71" applyNumberFormat="1" applyFont="1" applyBorder="1" applyAlignment="1">
      <alignment horizontal="center" vertical="center"/>
    </xf>
    <xf numFmtId="0" fontId="62" fillId="0" borderId="1" xfId="0" applyFont="1" applyBorder="1" applyAlignment="1">
      <alignment horizontal="center"/>
    </xf>
    <xf numFmtId="0" fontId="62" fillId="0" borderId="1" xfId="0" applyFont="1" applyBorder="1" applyAlignment="1">
      <alignment horizontal="center" vertical="center"/>
    </xf>
    <xf numFmtId="0" fontId="64" fillId="0" borderId="1" xfId="0" applyFont="1" applyBorder="1" applyAlignment="1">
      <alignment horizontal="center"/>
    </xf>
    <xf numFmtId="0" fontId="64" fillId="0" borderId="1" xfId="0" applyFont="1" applyBorder="1" applyAlignment="1">
      <alignment horizontal="center" vertical="center"/>
    </xf>
    <xf numFmtId="0" fontId="62" fillId="0" borderId="10" xfId="0" applyFont="1" applyBorder="1" applyAlignment="1">
      <alignment horizontal="center"/>
    </xf>
    <xf numFmtId="0" fontId="62" fillId="0" borderId="11" xfId="0" applyFont="1" applyBorder="1" applyAlignment="1">
      <alignment horizontal="center" vertical="center"/>
    </xf>
    <xf numFmtId="0" fontId="62" fillId="0" borderId="10" xfId="0" applyFont="1" applyBorder="1" applyAlignment="1">
      <alignment horizontal="center" vertical="center"/>
    </xf>
    <xf numFmtId="0" fontId="62" fillId="0" borderId="3" xfId="0" applyFont="1" applyBorder="1" applyAlignment="1">
      <alignment horizontal="center" vertical="center"/>
    </xf>
    <xf numFmtId="0" fontId="62" fillId="0" borderId="11" xfId="0" applyFont="1" applyBorder="1" applyAlignment="1">
      <alignment horizontal="center"/>
    </xf>
    <xf numFmtId="0" fontId="64" fillId="0" borderId="10" xfId="0" applyFont="1" applyBorder="1" applyAlignment="1">
      <alignment horizontal="center" vertical="center"/>
    </xf>
    <xf numFmtId="0" fontId="64" fillId="0" borderId="11" xfId="0" applyFont="1" applyBorder="1" applyAlignment="1">
      <alignment horizontal="center"/>
    </xf>
    <xf numFmtId="0" fontId="62" fillId="0" borderId="27" xfId="0" applyFont="1" applyBorder="1" applyAlignment="1">
      <alignment horizontal="center"/>
    </xf>
    <xf numFmtId="0" fontId="62" fillId="0" borderId="26" xfId="0" applyFont="1" applyBorder="1" applyAlignment="1">
      <alignment horizontal="center"/>
    </xf>
    <xf numFmtId="0" fontId="62" fillId="0" borderId="46" xfId="0" applyFont="1" applyBorder="1" applyAlignment="1">
      <alignment horizontal="center" vertical="center"/>
    </xf>
    <xf numFmtId="0" fontId="62" fillId="0" borderId="72" xfId="0" applyFont="1" applyBorder="1" applyAlignment="1">
      <alignment horizontal="center"/>
    </xf>
    <xf numFmtId="0" fontId="64" fillId="0" borderId="27" xfId="0" applyFont="1" applyBorder="1" applyAlignment="1">
      <alignment horizontal="center" vertical="center"/>
    </xf>
    <xf numFmtId="0" fontId="64" fillId="0" borderId="26" xfId="0" applyFont="1" applyBorder="1" applyAlignment="1">
      <alignment horizontal="center" vertical="center"/>
    </xf>
    <xf numFmtId="0" fontId="64" fillId="0" borderId="26" xfId="0" applyFont="1" applyBorder="1" applyAlignment="1">
      <alignment horizontal="center"/>
    </xf>
    <xf numFmtId="0" fontId="64" fillId="0" borderId="72" xfId="0" applyFont="1" applyBorder="1" applyAlignment="1">
      <alignment horizontal="center"/>
    </xf>
    <xf numFmtId="0" fontId="63" fillId="40" borderId="85" xfId="0" applyFont="1" applyFill="1" applyBorder="1" applyAlignment="1">
      <alignment vertical="center"/>
    </xf>
    <xf numFmtId="0" fontId="63" fillId="40" borderId="86" xfId="0" applyFont="1" applyFill="1" applyBorder="1" applyAlignment="1">
      <alignment vertical="center"/>
    </xf>
    <xf numFmtId="0" fontId="63" fillId="40" borderId="41" xfId="0" applyFont="1" applyFill="1" applyBorder="1" applyAlignment="1">
      <alignment horizontal="center" vertical="center"/>
    </xf>
    <xf numFmtId="0" fontId="63" fillId="46" borderId="83" xfId="0" applyFont="1" applyFill="1" applyBorder="1" applyAlignment="1">
      <alignment vertical="center"/>
    </xf>
    <xf numFmtId="0" fontId="63" fillId="46" borderId="87" xfId="0" applyFont="1" applyFill="1" applyBorder="1" applyAlignment="1">
      <alignment vertical="center"/>
    </xf>
    <xf numFmtId="0" fontId="63" fillId="46" borderId="50" xfId="0" applyFont="1" applyFill="1" applyBorder="1" applyAlignment="1">
      <alignment horizontal="center" vertical="center"/>
    </xf>
    <xf numFmtId="0" fontId="62" fillId="0" borderId="10" xfId="0" applyFont="1" applyBorder="1"/>
    <xf numFmtId="0" fontId="62" fillId="0" borderId="10" xfId="0" applyFont="1" applyBorder="1" applyAlignment="1">
      <alignment wrapText="1"/>
    </xf>
    <xf numFmtId="0" fontId="37" fillId="32" borderId="1" xfId="0" applyFont="1" applyFill="1" applyBorder="1" applyAlignment="1" applyProtection="1">
      <alignment horizontal="center" vertical="center" wrapText="1"/>
      <protection locked="0"/>
    </xf>
    <xf numFmtId="0" fontId="6" fillId="47" borderId="10" xfId="0" applyFont="1" applyFill="1" applyBorder="1" applyAlignment="1" applyProtection="1">
      <alignment horizontal="center" vertical="center"/>
      <protection locked="0"/>
    </xf>
    <xf numFmtId="0" fontId="46" fillId="0" borderId="38" xfId="0" applyFont="1" applyBorder="1" applyAlignment="1" applyProtection="1">
      <alignment horizontal="center" vertical="center"/>
      <protection locked="0"/>
    </xf>
    <xf numFmtId="0" fontId="9" fillId="32" borderId="38" xfId="0" applyFont="1" applyFill="1" applyBorder="1" applyAlignment="1" applyProtection="1">
      <alignment horizontal="center" vertical="center"/>
      <protection locked="0"/>
    </xf>
    <xf numFmtId="0" fontId="37" fillId="0" borderId="27" xfId="0" applyFont="1" applyBorder="1" applyAlignment="1">
      <alignment horizontal="center" vertical="center" textRotation="90" wrapText="1"/>
    </xf>
    <xf numFmtId="0" fontId="37" fillId="0" borderId="52" xfId="0" applyFont="1" applyBorder="1" applyAlignment="1" applyProtection="1">
      <alignment horizontal="center" vertical="center" wrapText="1"/>
      <protection locked="0"/>
    </xf>
    <xf numFmtId="0" fontId="37" fillId="0" borderId="39" xfId="0" applyFont="1" applyBorder="1" applyAlignment="1" applyProtection="1">
      <alignment horizontal="center" vertical="center" wrapText="1"/>
      <protection locked="0"/>
    </xf>
    <xf numFmtId="1" fontId="64" fillId="0" borderId="10" xfId="0" applyNumberFormat="1" applyFont="1" applyBorder="1" applyAlignment="1">
      <alignment horizontal="center" vertical="center"/>
    </xf>
    <xf numFmtId="1" fontId="64" fillId="0" borderId="27" xfId="0" applyNumberFormat="1" applyFont="1" applyBorder="1" applyAlignment="1">
      <alignment horizontal="center" vertical="center"/>
    </xf>
    <xf numFmtId="14" fontId="13" fillId="25" borderId="1" xfId="38" applyNumberFormat="1" applyBorder="1" applyAlignment="1">
      <alignment horizontal="center" vertical="center" wrapText="1"/>
    </xf>
    <xf numFmtId="0" fontId="37" fillId="0" borderId="3" xfId="0" applyFont="1" applyBorder="1" applyAlignment="1" applyProtection="1">
      <alignment horizontal="center" vertical="center" wrapText="1"/>
      <protection locked="0"/>
    </xf>
    <xf numFmtId="0" fontId="64" fillId="0" borderId="3" xfId="0" applyFont="1" applyBorder="1" applyAlignment="1">
      <alignment horizontal="center"/>
    </xf>
    <xf numFmtId="0" fontId="62" fillId="0" borderId="27" xfId="0" applyFont="1" applyBorder="1"/>
    <xf numFmtId="0" fontId="64" fillId="0" borderId="46" xfId="0" applyFont="1" applyBorder="1" applyAlignment="1">
      <alignment horizontal="center"/>
    </xf>
    <xf numFmtId="0" fontId="56" fillId="38" borderId="46" xfId="71" applyFont="1" applyFill="1" applyBorder="1" applyAlignment="1">
      <alignment vertical="center" textRotation="255" wrapText="1"/>
    </xf>
    <xf numFmtId="0" fontId="57" fillId="39" borderId="13" xfId="71" applyFont="1" applyFill="1" applyBorder="1" applyAlignment="1">
      <alignment horizontal="center" vertical="center"/>
    </xf>
    <xf numFmtId="0" fontId="57" fillId="39" borderId="14" xfId="71" applyFont="1" applyFill="1" applyBorder="1" applyAlignment="1">
      <alignment horizontal="center" vertical="center"/>
    </xf>
    <xf numFmtId="0" fontId="64" fillId="0" borderId="10" xfId="0" applyFont="1" applyBorder="1" applyAlignment="1">
      <alignment horizontal="center"/>
    </xf>
    <xf numFmtId="0" fontId="58" fillId="32" borderId="8" xfId="0" applyFont="1" applyFill="1" applyBorder="1" applyAlignment="1">
      <alignment horizontal="left" vertical="center" wrapText="1"/>
    </xf>
    <xf numFmtId="1" fontId="64" fillId="0" borderId="1" xfId="0" applyNumberFormat="1" applyFont="1" applyBorder="1" applyAlignment="1">
      <alignment horizontal="center"/>
    </xf>
    <xf numFmtId="1" fontId="64" fillId="0" borderId="11" xfId="0" applyNumberFormat="1" applyFont="1" applyBorder="1" applyAlignment="1">
      <alignment horizontal="center"/>
    </xf>
    <xf numFmtId="1" fontId="64" fillId="0" borderId="10" xfId="0" applyNumberFormat="1" applyFont="1" applyBorder="1" applyAlignment="1">
      <alignment horizontal="center"/>
    </xf>
    <xf numFmtId="0" fontId="46" fillId="0" borderId="17" xfId="0" applyFont="1" applyBorder="1" applyAlignment="1" applyProtection="1">
      <alignment horizontal="center" vertical="center"/>
      <protection locked="0"/>
    </xf>
    <xf numFmtId="0" fontId="9" fillId="0" borderId="7" xfId="0" applyFont="1" applyBorder="1" applyAlignment="1" applyProtection="1">
      <alignment horizontal="center" vertical="center"/>
      <protection locked="0"/>
    </xf>
    <xf numFmtId="0" fontId="46" fillId="32" borderId="7" xfId="0" applyFont="1" applyFill="1" applyBorder="1" applyAlignment="1" applyProtection="1">
      <alignment horizontal="center" vertical="center"/>
      <protection locked="0"/>
    </xf>
    <xf numFmtId="0" fontId="46" fillId="32" borderId="9" xfId="0" applyFont="1" applyFill="1" applyBorder="1" applyAlignment="1" applyProtection="1">
      <alignment horizontal="center" vertical="center" wrapText="1"/>
      <protection locked="0"/>
    </xf>
    <xf numFmtId="14" fontId="6" fillId="0" borderId="39" xfId="0" applyNumberFormat="1" applyFont="1" applyBorder="1" applyAlignment="1" applyProtection="1">
      <alignment horizontal="center" vertical="center"/>
      <protection locked="0"/>
    </xf>
    <xf numFmtId="0" fontId="6" fillId="44" borderId="10" xfId="0" applyFont="1" applyFill="1" applyBorder="1" applyAlignment="1" applyProtection="1">
      <alignment horizontal="center" vertical="center"/>
      <protection locked="0"/>
    </xf>
    <xf numFmtId="1" fontId="64" fillId="0" borderId="27" xfId="0" applyNumberFormat="1" applyFont="1" applyBorder="1" applyAlignment="1">
      <alignment horizontal="center"/>
    </xf>
    <xf numFmtId="164" fontId="37" fillId="38" borderId="1" xfId="0" applyNumberFormat="1" applyFont="1" applyFill="1" applyBorder="1" applyAlignment="1">
      <alignment horizontal="center" vertical="center" wrapText="1"/>
    </xf>
    <xf numFmtId="0" fontId="58" fillId="43" borderId="48" xfId="0" applyFont="1" applyFill="1" applyBorder="1" applyAlignment="1">
      <alignment vertical="center" wrapText="1"/>
    </xf>
    <xf numFmtId="0" fontId="46" fillId="32" borderId="8" xfId="0" applyFont="1" applyFill="1" applyBorder="1" applyAlignment="1">
      <alignment horizontal="left" vertical="center" wrapText="1"/>
    </xf>
    <xf numFmtId="0" fontId="65" fillId="0" borderId="1" xfId="0" applyFont="1" applyBorder="1" applyAlignment="1">
      <alignment vertical="center"/>
    </xf>
    <xf numFmtId="0" fontId="46" fillId="0" borderId="11" xfId="0" applyFont="1" applyBorder="1" applyAlignment="1">
      <alignment horizontal="center" vertical="center"/>
    </xf>
    <xf numFmtId="14" fontId="46" fillId="0" borderId="40" xfId="0" applyNumberFormat="1" applyFont="1" applyBorder="1" applyAlignment="1" applyProtection="1">
      <alignment horizontal="center" vertical="center"/>
      <protection locked="0"/>
    </xf>
    <xf numFmtId="14" fontId="46" fillId="0" borderId="39" xfId="0" applyNumberFormat="1" applyFont="1" applyBorder="1" applyAlignment="1" applyProtection="1">
      <alignment horizontal="center" vertical="center"/>
      <protection locked="0"/>
    </xf>
    <xf numFmtId="0" fontId="46" fillId="0" borderId="39" xfId="0" applyFont="1" applyBorder="1" applyAlignment="1" applyProtection="1">
      <alignment horizontal="center" vertical="center"/>
      <protection locked="0"/>
    </xf>
    <xf numFmtId="0" fontId="46" fillId="32" borderId="11" xfId="0" applyFont="1" applyFill="1" applyBorder="1" applyAlignment="1" applyProtection="1">
      <alignment horizontal="center" vertical="center"/>
      <protection locked="0"/>
    </xf>
    <xf numFmtId="0" fontId="46" fillId="32" borderId="3" xfId="0" applyFont="1" applyFill="1" applyBorder="1" applyAlignment="1" applyProtection="1">
      <alignment horizontal="center" vertical="center"/>
      <protection locked="0"/>
    </xf>
    <xf numFmtId="0" fontId="46" fillId="47" borderId="2" xfId="0" applyFont="1" applyFill="1" applyBorder="1" applyAlignment="1" applyProtection="1">
      <alignment horizontal="center" vertical="center"/>
      <protection locked="0"/>
    </xf>
    <xf numFmtId="0" fontId="46" fillId="47" borderId="1" xfId="0" applyFont="1" applyFill="1" applyBorder="1" applyAlignment="1" applyProtection="1">
      <alignment horizontal="center" vertical="center"/>
      <protection locked="0"/>
    </xf>
    <xf numFmtId="0" fontId="46" fillId="44" borderId="10" xfId="0" applyFont="1" applyFill="1" applyBorder="1" applyAlignment="1" applyProtection="1">
      <alignment horizontal="center" vertical="center"/>
      <protection locked="0"/>
    </xf>
    <xf numFmtId="14" fontId="46" fillId="0" borderId="3" xfId="0" applyNumberFormat="1" applyFont="1" applyBorder="1" applyAlignment="1" applyProtection="1">
      <alignment horizontal="center" vertical="center"/>
      <protection locked="0"/>
    </xf>
    <xf numFmtId="14" fontId="46" fillId="32" borderId="1" xfId="0" applyNumberFormat="1" applyFont="1" applyFill="1" applyBorder="1" applyAlignment="1" applyProtection="1">
      <alignment horizontal="center" vertical="center"/>
      <protection locked="0"/>
    </xf>
    <xf numFmtId="14" fontId="66" fillId="25" borderId="1" xfId="38" applyNumberFormat="1" applyFont="1" applyBorder="1" applyAlignment="1">
      <alignment horizontal="center" vertical="center" wrapText="1"/>
    </xf>
    <xf numFmtId="0" fontId="46" fillId="0" borderId="54" xfId="0" applyFont="1" applyBorder="1" applyAlignment="1">
      <alignment horizontal="center" vertical="center"/>
    </xf>
    <xf numFmtId="0" fontId="67" fillId="0" borderId="0" xfId="73" applyFont="1" applyBorder="1" applyAlignment="1">
      <alignment vertical="center"/>
    </xf>
    <xf numFmtId="0" fontId="46" fillId="0" borderId="0" xfId="0" applyFont="1" applyAlignment="1">
      <alignment vertical="center"/>
    </xf>
    <xf numFmtId="0" fontId="68" fillId="0" borderId="0" xfId="0" applyFont="1" applyAlignment="1">
      <alignment vertical="center"/>
    </xf>
    <xf numFmtId="0" fontId="46" fillId="32" borderId="38" xfId="0" applyFont="1" applyFill="1" applyBorder="1" applyAlignment="1" applyProtection="1">
      <alignment horizontal="center" vertical="center"/>
      <protection locked="0"/>
    </xf>
    <xf numFmtId="0" fontId="46" fillId="0" borderId="0" xfId="0" applyFont="1"/>
    <xf numFmtId="0" fontId="68" fillId="0" borderId="0" xfId="0" applyFont="1"/>
    <xf numFmtId="0" fontId="46" fillId="48" borderId="3" xfId="0" applyFont="1" applyFill="1" applyBorder="1" applyAlignment="1" applyProtection="1">
      <alignment horizontal="center" vertical="center"/>
      <protection locked="0"/>
    </xf>
    <xf numFmtId="0" fontId="46" fillId="47" borderId="10" xfId="0" applyFont="1" applyFill="1" applyBorder="1" applyAlignment="1" applyProtection="1">
      <alignment horizontal="center" vertical="center"/>
      <protection locked="0"/>
    </xf>
    <xf numFmtId="0" fontId="46" fillId="0" borderId="9" xfId="0" applyFont="1" applyBorder="1" applyAlignment="1">
      <alignment horizontal="center" vertical="center"/>
    </xf>
    <xf numFmtId="0" fontId="46" fillId="0" borderId="10" xfId="0" applyFont="1" applyBorder="1"/>
    <xf numFmtId="0" fontId="46" fillId="0" borderId="1" xfId="0" applyFont="1" applyBorder="1"/>
    <xf numFmtId="0" fontId="46" fillId="0" borderId="11" xfId="0" applyFont="1" applyBorder="1"/>
    <xf numFmtId="0" fontId="46" fillId="0" borderId="7" xfId="0" applyFont="1" applyBorder="1"/>
    <xf numFmtId="0" fontId="46" fillId="0" borderId="8" xfId="0" applyFont="1" applyBorder="1"/>
    <xf numFmtId="0" fontId="46" fillId="0" borderId="9" xfId="0" applyFont="1" applyBorder="1"/>
    <xf numFmtId="0" fontId="46" fillId="32" borderId="52" xfId="0" applyFont="1" applyFill="1" applyBorder="1" applyAlignment="1" applyProtection="1">
      <alignment horizontal="center" vertical="center"/>
      <protection locked="0"/>
    </xf>
    <xf numFmtId="0" fontId="46" fillId="0" borderId="7" xfId="0" applyFont="1" applyBorder="1" applyAlignment="1">
      <alignment vertical="center"/>
    </xf>
    <xf numFmtId="0" fontId="46" fillId="0" borderId="8" xfId="0" applyFont="1" applyBorder="1" applyAlignment="1">
      <alignment vertical="center"/>
    </xf>
    <xf numFmtId="0" fontId="46" fillId="0" borderId="9" xfId="0" applyFont="1" applyBorder="1" applyAlignment="1">
      <alignment vertical="center"/>
    </xf>
    <xf numFmtId="0" fontId="46" fillId="32" borderId="44" xfId="0" applyFont="1" applyFill="1" applyBorder="1" applyAlignment="1" applyProtection="1">
      <alignment horizontal="center" vertical="center"/>
      <protection locked="0"/>
    </xf>
    <xf numFmtId="0" fontId="46" fillId="32" borderId="43" xfId="0" applyFont="1" applyFill="1" applyBorder="1" applyAlignment="1" applyProtection="1">
      <alignment horizontal="center" vertical="center"/>
      <protection locked="0"/>
    </xf>
    <xf numFmtId="0" fontId="57" fillId="0" borderId="1" xfId="71" applyFont="1" applyBorder="1" applyAlignment="1">
      <alignment horizontal="center" vertical="center"/>
    </xf>
    <xf numFmtId="0" fontId="57" fillId="0" borderId="10" xfId="71" applyFont="1" applyBorder="1" applyAlignment="1">
      <alignment horizontal="center" vertical="center"/>
    </xf>
    <xf numFmtId="0" fontId="9" fillId="0" borderId="1" xfId="71" applyFont="1" applyBorder="1" applyAlignment="1">
      <alignment horizontal="center" vertical="center"/>
    </xf>
    <xf numFmtId="0" fontId="9" fillId="0" borderId="11" xfId="71" applyFont="1" applyBorder="1" applyAlignment="1">
      <alignment horizontal="center" vertical="center"/>
    </xf>
    <xf numFmtId="0" fontId="57" fillId="39" borderId="17" xfId="71" applyFont="1" applyFill="1" applyBorder="1" applyAlignment="1">
      <alignment horizontal="center" vertical="center"/>
    </xf>
    <xf numFmtId="0" fontId="57" fillId="39" borderId="18" xfId="71" applyFont="1" applyFill="1" applyBorder="1" applyAlignment="1">
      <alignment horizontal="center" vertical="center"/>
    </xf>
    <xf numFmtId="0" fontId="9" fillId="39" borderId="18" xfId="71" applyFont="1" applyFill="1" applyBorder="1" applyAlignment="1">
      <alignment horizontal="center" vertical="center"/>
    </xf>
    <xf numFmtId="0" fontId="9" fillId="39" borderId="19" xfId="71" applyFont="1" applyFill="1" applyBorder="1" applyAlignment="1">
      <alignment horizontal="center" vertical="center"/>
    </xf>
    <xf numFmtId="0" fontId="57" fillId="39" borderId="12" xfId="71" applyFont="1" applyFill="1" applyBorder="1" applyAlignment="1">
      <alignment horizontal="center" vertical="center"/>
    </xf>
    <xf numFmtId="0" fontId="57" fillId="0" borderId="13" xfId="71" applyFont="1" applyBorder="1" applyAlignment="1">
      <alignment horizontal="center" vertical="center"/>
    </xf>
    <xf numFmtId="0" fontId="57" fillId="39" borderId="19" xfId="71" applyFont="1" applyFill="1" applyBorder="1" applyAlignment="1">
      <alignment horizontal="center" vertical="center"/>
    </xf>
    <xf numFmtId="1" fontId="57" fillId="0" borderId="11" xfId="71" applyNumberFormat="1" applyFont="1" applyBorder="1" applyAlignment="1">
      <alignment horizontal="center" vertical="center"/>
    </xf>
    <xf numFmtId="0" fontId="57" fillId="32" borderId="11" xfId="71" applyFont="1" applyFill="1" applyBorder="1" applyAlignment="1">
      <alignment horizontal="center" vertical="center"/>
    </xf>
    <xf numFmtId="0" fontId="9" fillId="39" borderId="86" xfId="71" applyFont="1" applyFill="1" applyBorder="1" applyAlignment="1">
      <alignment horizontal="center" vertical="center"/>
    </xf>
    <xf numFmtId="0" fontId="9" fillId="39" borderId="2" xfId="71" applyFont="1" applyFill="1" applyBorder="1" applyAlignment="1">
      <alignment horizontal="center" vertical="center"/>
    </xf>
    <xf numFmtId="0" fontId="57" fillId="0" borderId="12" xfId="71" applyFont="1" applyBorder="1" applyAlignment="1">
      <alignment horizontal="center" vertical="center"/>
    </xf>
    <xf numFmtId="0" fontId="9" fillId="0" borderId="2" xfId="71" applyFont="1" applyBorder="1" applyAlignment="1">
      <alignment horizontal="center" vertical="center"/>
    </xf>
    <xf numFmtId="1" fontId="9" fillId="0" borderId="2" xfId="71" applyNumberFormat="1" applyFont="1" applyBorder="1" applyAlignment="1">
      <alignment horizontal="center" vertical="center"/>
    </xf>
    <xf numFmtId="1" fontId="9" fillId="0" borderId="87" xfId="71" applyNumberFormat="1" applyFont="1" applyBorder="1" applyAlignment="1">
      <alignment horizontal="center" vertical="center"/>
    </xf>
    <xf numFmtId="0" fontId="9" fillId="39" borderId="17" xfId="71" applyFont="1" applyFill="1" applyBorder="1" applyAlignment="1">
      <alignment horizontal="center" vertical="center"/>
    </xf>
    <xf numFmtId="0" fontId="63" fillId="40" borderId="18" xfId="0" applyFont="1" applyFill="1" applyBorder="1" applyAlignment="1">
      <alignment horizontal="center" vertical="center"/>
    </xf>
    <xf numFmtId="0" fontId="63" fillId="46" borderId="13" xfId="0" applyFont="1" applyFill="1" applyBorder="1" applyAlignment="1">
      <alignment horizontal="center" vertical="center"/>
    </xf>
    <xf numFmtId="0" fontId="63" fillId="33" borderId="17" xfId="0" applyFont="1" applyFill="1" applyBorder="1" applyAlignment="1">
      <alignment horizontal="center" vertical="center" wrapText="1"/>
    </xf>
    <xf numFmtId="0" fontId="63" fillId="33" borderId="19" xfId="0" applyFont="1" applyFill="1" applyBorder="1" applyAlignment="1">
      <alignment horizontal="center" vertical="center" wrapText="1"/>
    </xf>
    <xf numFmtId="0" fontId="63" fillId="33" borderId="7" xfId="0" applyFont="1" applyFill="1" applyBorder="1" applyAlignment="1">
      <alignment horizontal="center" vertical="center" wrapText="1"/>
    </xf>
    <xf numFmtId="0" fontId="63" fillId="33" borderId="8" xfId="0" applyFont="1" applyFill="1" applyBorder="1" applyAlignment="1">
      <alignment horizontal="center" vertical="center" wrapText="1"/>
    </xf>
    <xf numFmtId="0" fontId="63" fillId="33" borderId="52" xfId="0" applyFont="1" applyFill="1" applyBorder="1" applyAlignment="1">
      <alignment horizontal="center" vertical="center" wrapText="1"/>
    </xf>
    <xf numFmtId="0" fontId="63" fillId="33" borderId="9" xfId="0" applyFont="1" applyFill="1" applyBorder="1" applyAlignment="1">
      <alignment horizontal="center" vertical="center" wrapText="1"/>
    </xf>
    <xf numFmtId="0" fontId="0" fillId="0" borderId="0" xfId="0" applyAlignment="1">
      <alignment vertical="center" wrapText="1"/>
    </xf>
    <xf numFmtId="0" fontId="63" fillId="40" borderId="19" xfId="0" applyFont="1" applyFill="1" applyBorder="1" applyAlignment="1">
      <alignment horizontal="center" vertical="center"/>
    </xf>
    <xf numFmtId="0" fontId="63" fillId="46" borderId="14" xfId="0" applyFont="1" applyFill="1" applyBorder="1" applyAlignment="1">
      <alignment horizontal="center" vertical="center"/>
    </xf>
    <xf numFmtId="0" fontId="37" fillId="38" borderId="28" xfId="0" applyFont="1" applyFill="1" applyBorder="1" applyAlignment="1" applyProtection="1">
      <alignment horizontal="center" vertical="center"/>
      <protection locked="0"/>
    </xf>
    <xf numFmtId="0" fontId="37" fillId="38" borderId="29" xfId="0" applyFont="1" applyFill="1" applyBorder="1" applyAlignment="1" applyProtection="1">
      <alignment horizontal="center" vertical="center"/>
      <protection locked="0"/>
    </xf>
    <xf numFmtId="0" fontId="37" fillId="38" borderId="16" xfId="0" applyFont="1" applyFill="1" applyBorder="1" applyAlignment="1" applyProtection="1">
      <alignment horizontal="center" vertical="center"/>
      <protection locked="0"/>
    </xf>
    <xf numFmtId="0" fontId="37" fillId="38" borderId="4" xfId="0" applyFont="1" applyFill="1" applyBorder="1" applyAlignment="1" applyProtection="1">
      <alignment horizontal="center" vertical="center" wrapText="1"/>
      <protection locked="0"/>
    </xf>
    <xf numFmtId="0" fontId="37" fillId="38" borderId="5" xfId="0" applyFont="1" applyFill="1" applyBorder="1" applyAlignment="1" applyProtection="1">
      <alignment horizontal="center" vertical="center" wrapText="1"/>
      <protection locked="0"/>
    </xf>
    <xf numFmtId="0" fontId="37" fillId="38" borderId="76" xfId="0" applyFont="1" applyFill="1" applyBorder="1" applyAlignment="1" applyProtection="1">
      <alignment horizontal="center" vertical="center" wrapText="1"/>
      <protection locked="0"/>
    </xf>
    <xf numFmtId="0" fontId="37" fillId="38" borderId="6" xfId="0" applyFont="1" applyFill="1" applyBorder="1" applyAlignment="1" applyProtection="1">
      <alignment horizontal="center" vertical="center" wrapText="1"/>
      <protection locked="0"/>
    </xf>
    <xf numFmtId="0" fontId="37" fillId="38" borderId="49" xfId="0" applyFont="1" applyFill="1" applyBorder="1" applyAlignment="1" applyProtection="1">
      <alignment horizontal="center" vertical="center" wrapText="1"/>
      <protection locked="0"/>
    </xf>
    <xf numFmtId="0" fontId="8" fillId="0" borderId="20" xfId="44" applyFont="1" applyBorder="1" applyAlignment="1" applyProtection="1">
      <alignment horizontal="center" vertical="center" wrapText="1"/>
      <protection locked="0"/>
    </xf>
    <xf numFmtId="0" fontId="8" fillId="0" borderId="21" xfId="44" applyFont="1" applyBorder="1" applyAlignment="1" applyProtection="1">
      <alignment horizontal="center" vertical="center" wrapText="1"/>
      <protection locked="0"/>
    </xf>
    <xf numFmtId="0" fontId="8" fillId="0" borderId="22" xfId="44" applyFont="1" applyBorder="1" applyAlignment="1" applyProtection="1">
      <alignment horizontal="center" vertical="center" wrapText="1"/>
      <protection locked="0"/>
    </xf>
    <xf numFmtId="0" fontId="8" fillId="0" borderId="23" xfId="44" applyFont="1" applyBorder="1" applyAlignment="1" applyProtection="1">
      <alignment horizontal="center" vertical="center" wrapText="1"/>
      <protection locked="0"/>
    </xf>
    <xf numFmtId="0" fontId="8" fillId="0" borderId="24" xfId="44" applyFont="1" applyBorder="1" applyAlignment="1" applyProtection="1">
      <alignment horizontal="center" vertical="center" wrapText="1"/>
      <protection locked="0"/>
    </xf>
    <xf numFmtId="0" fontId="8" fillId="0" borderId="25" xfId="44" applyFont="1" applyBorder="1" applyAlignment="1" applyProtection="1">
      <alignment horizontal="center" vertical="center" wrapText="1"/>
      <protection locked="0"/>
    </xf>
    <xf numFmtId="0" fontId="59" fillId="34" borderId="74" xfId="0" applyFont="1" applyFill="1" applyBorder="1" applyAlignment="1">
      <alignment horizontal="center" vertical="center" wrapText="1"/>
    </xf>
    <xf numFmtId="0" fontId="59" fillId="34" borderId="15" xfId="0" applyFont="1" applyFill="1" applyBorder="1" applyAlignment="1">
      <alignment horizontal="center" vertical="center" wrapText="1"/>
    </xf>
    <xf numFmtId="0" fontId="59" fillId="34" borderId="47" xfId="0" applyFont="1" applyFill="1" applyBorder="1" applyAlignment="1">
      <alignment horizontal="center" vertical="center" wrapText="1"/>
    </xf>
    <xf numFmtId="164" fontId="37" fillId="38" borderId="1" xfId="0" applyNumberFormat="1" applyFont="1" applyFill="1" applyBorder="1" applyAlignment="1">
      <alignment horizontal="center" vertical="center" wrapText="1"/>
    </xf>
    <xf numFmtId="164" fontId="37" fillId="38" borderId="26" xfId="0" applyNumberFormat="1" applyFont="1" applyFill="1" applyBorder="1" applyAlignment="1">
      <alignment horizontal="center" vertical="center" wrapText="1"/>
    </xf>
    <xf numFmtId="164" fontId="37" fillId="38" borderId="3" xfId="0" applyNumberFormat="1" applyFont="1" applyFill="1" applyBorder="1" applyAlignment="1">
      <alignment horizontal="center" vertical="center" wrapText="1"/>
    </xf>
    <xf numFmtId="164" fontId="37" fillId="38" borderId="46" xfId="0" applyNumberFormat="1" applyFont="1" applyFill="1" applyBorder="1" applyAlignment="1">
      <alignment horizontal="center" vertical="center" wrapText="1"/>
    </xf>
    <xf numFmtId="164" fontId="37" fillId="38" borderId="8" xfId="0" applyNumberFormat="1" applyFont="1" applyFill="1" applyBorder="1" applyAlignment="1">
      <alignment horizontal="center" vertical="center" wrapText="1"/>
    </xf>
    <xf numFmtId="164" fontId="37" fillId="38" borderId="52" xfId="0" applyNumberFormat="1" applyFont="1" applyFill="1" applyBorder="1" applyAlignment="1">
      <alignment horizontal="center" vertical="center" wrapText="1"/>
    </xf>
    <xf numFmtId="0" fontId="37" fillId="38" borderId="28" xfId="0" applyFont="1" applyFill="1" applyBorder="1" applyAlignment="1">
      <alignment horizontal="center" vertical="center"/>
    </xf>
    <xf numFmtId="0" fontId="37" fillId="38" borderId="29" xfId="0" applyFont="1" applyFill="1" applyBorder="1" applyAlignment="1">
      <alignment horizontal="center" vertical="center"/>
    </xf>
    <xf numFmtId="0" fontId="37" fillId="38" borderId="16" xfId="0" applyFont="1" applyFill="1" applyBorder="1" applyAlignment="1">
      <alignment horizontal="center" vertical="center"/>
    </xf>
    <xf numFmtId="0" fontId="9" fillId="0" borderId="20" xfId="0" applyFont="1" applyBorder="1" applyAlignment="1">
      <alignment horizontal="left" vertical="center" wrapText="1"/>
    </xf>
    <xf numFmtId="0" fontId="9" fillId="0" borderId="21" xfId="0" applyFont="1" applyBorder="1" applyAlignment="1">
      <alignment horizontal="left" vertical="center" wrapText="1"/>
    </xf>
    <xf numFmtId="0" fontId="9" fillId="0" borderId="22" xfId="0" applyFont="1" applyBorder="1" applyAlignment="1">
      <alignment horizontal="left" vertical="center" wrapText="1"/>
    </xf>
    <xf numFmtId="0" fontId="9" fillId="0" borderId="53" xfId="0" applyFont="1" applyBorder="1" applyAlignment="1">
      <alignment horizontal="left" vertical="center" wrapText="1"/>
    </xf>
    <xf numFmtId="0" fontId="9" fillId="0" borderId="0" xfId="0" applyFont="1" applyAlignment="1">
      <alignment horizontal="left" vertical="center" wrapText="1"/>
    </xf>
    <xf numFmtId="0" fontId="9" fillId="0" borderId="54" xfId="0" applyFont="1" applyBorder="1" applyAlignment="1">
      <alignment horizontal="left" vertical="center" wrapText="1"/>
    </xf>
    <xf numFmtId="0" fontId="9" fillId="0" borderId="23" xfId="0" applyFont="1" applyBorder="1" applyAlignment="1">
      <alignment horizontal="left" vertical="center" wrapText="1"/>
    </xf>
    <xf numFmtId="0" fontId="9" fillId="0" borderId="24" xfId="0" applyFont="1" applyBorder="1" applyAlignment="1">
      <alignment horizontal="left" vertical="center" wrapText="1"/>
    </xf>
    <xf numFmtId="0" fontId="9" fillId="0" borderId="25" xfId="0" applyFont="1" applyBorder="1" applyAlignment="1">
      <alignment horizontal="left" vertical="center" wrapText="1"/>
    </xf>
    <xf numFmtId="0" fontId="44" fillId="0" borderId="20" xfId="44" applyFont="1" applyBorder="1" applyAlignment="1">
      <alignment horizontal="center" vertical="center" wrapText="1"/>
    </xf>
    <xf numFmtId="0" fontId="44" fillId="0" borderId="21" xfId="44" applyFont="1" applyBorder="1" applyAlignment="1">
      <alignment horizontal="center" vertical="center" wrapText="1"/>
    </xf>
    <xf numFmtId="0" fontId="44" fillId="0" borderId="53" xfId="44" applyFont="1" applyBorder="1" applyAlignment="1">
      <alignment horizontal="center" vertical="center" wrapText="1"/>
    </xf>
    <xf numFmtId="0" fontId="44" fillId="0" borderId="0" xfId="44" applyFont="1" applyAlignment="1">
      <alignment horizontal="center" vertical="center" wrapText="1"/>
    </xf>
    <xf numFmtId="0" fontId="44" fillId="0" borderId="23" xfId="44" applyFont="1" applyBorder="1" applyAlignment="1">
      <alignment horizontal="center" vertical="center" wrapText="1"/>
    </xf>
    <xf numFmtId="0" fontId="44" fillId="0" borderId="24" xfId="44" applyFont="1" applyBorder="1" applyAlignment="1">
      <alignment horizontal="center" vertical="center" wrapText="1"/>
    </xf>
    <xf numFmtId="0" fontId="37" fillId="38" borderId="4" xfId="0" applyFont="1" applyFill="1" applyBorder="1" applyAlignment="1" applyProtection="1">
      <alignment horizontal="center" vertical="center"/>
      <protection locked="0"/>
    </xf>
    <xf numFmtId="0" fontId="37" fillId="38" borderId="5" xfId="0" applyFont="1" applyFill="1" applyBorder="1" applyAlignment="1" applyProtection="1">
      <alignment horizontal="center" vertical="center"/>
      <protection locked="0"/>
    </xf>
    <xf numFmtId="0" fontId="37" fillId="38" borderId="6" xfId="0" applyFont="1" applyFill="1" applyBorder="1" applyAlignment="1" applyProtection="1">
      <alignment horizontal="center" vertical="center"/>
      <protection locked="0"/>
    </xf>
    <xf numFmtId="9" fontId="38" fillId="0" borderId="7" xfId="49" applyFont="1" applyBorder="1" applyAlignment="1" applyProtection="1">
      <alignment horizontal="center" vertical="center"/>
      <protection hidden="1"/>
    </xf>
    <xf numFmtId="9" fontId="38" fillId="0" borderId="8" xfId="49" applyFont="1" applyBorder="1" applyAlignment="1" applyProtection="1">
      <alignment horizontal="center" vertical="center"/>
      <protection hidden="1"/>
    </xf>
    <xf numFmtId="9" fontId="38" fillId="0" borderId="9" xfId="49" applyFont="1" applyBorder="1" applyAlignment="1" applyProtection="1">
      <alignment horizontal="center" vertical="center"/>
      <protection hidden="1"/>
    </xf>
    <xf numFmtId="9" fontId="38" fillId="0" borderId="2" xfId="49" applyFont="1" applyBorder="1" applyAlignment="1" applyProtection="1">
      <alignment horizontal="center" vertical="center"/>
      <protection hidden="1"/>
    </xf>
    <xf numFmtId="9" fontId="38" fillId="0" borderId="1" xfId="49" applyFont="1" applyBorder="1" applyAlignment="1" applyProtection="1">
      <alignment horizontal="center" vertical="center"/>
      <protection hidden="1"/>
    </xf>
    <xf numFmtId="9" fontId="38" fillId="0" borderId="3" xfId="49" applyFont="1" applyBorder="1" applyAlignment="1" applyProtection="1">
      <alignment horizontal="center" vertical="center"/>
      <protection hidden="1"/>
    </xf>
    <xf numFmtId="9" fontId="38" fillId="0" borderId="52" xfId="49" applyFont="1" applyBorder="1" applyAlignment="1" applyProtection="1">
      <alignment horizontal="center" vertical="center"/>
      <protection hidden="1"/>
    </xf>
    <xf numFmtId="9" fontId="38" fillId="0" borderId="10" xfId="49" applyFont="1" applyBorder="1" applyAlignment="1" applyProtection="1">
      <alignment horizontal="center" vertical="center"/>
      <protection hidden="1"/>
    </xf>
    <xf numFmtId="9" fontId="38" fillId="0" borderId="11" xfId="49" applyFont="1" applyBorder="1" applyAlignment="1" applyProtection="1">
      <alignment horizontal="center" vertical="center"/>
      <protection hidden="1"/>
    </xf>
    <xf numFmtId="9" fontId="38" fillId="0" borderId="48" xfId="49" applyFont="1" applyBorder="1" applyAlignment="1" applyProtection="1">
      <alignment horizontal="center" vertical="center"/>
      <protection hidden="1"/>
    </xf>
    <xf numFmtId="166" fontId="10" fillId="32" borderId="83" xfId="61" applyNumberFormat="1" applyFont="1" applyFill="1" applyBorder="1" applyAlignment="1" applyProtection="1">
      <alignment horizontal="center" vertical="center"/>
      <protection hidden="1"/>
    </xf>
    <xf numFmtId="166" fontId="10" fillId="32" borderId="80" xfId="61" applyNumberFormat="1" applyFont="1" applyFill="1" applyBorder="1" applyAlignment="1" applyProtection="1">
      <alignment horizontal="center" vertical="center"/>
      <protection hidden="1"/>
    </xf>
    <xf numFmtId="166" fontId="10" fillId="32" borderId="42" xfId="61" applyNumberFormat="1" applyFont="1" applyFill="1" applyBorder="1" applyAlignment="1" applyProtection="1">
      <alignment horizontal="center" vertical="center"/>
      <protection hidden="1"/>
    </xf>
    <xf numFmtId="0" fontId="37" fillId="38" borderId="28" xfId="0" applyFont="1" applyFill="1" applyBorder="1" applyAlignment="1" applyProtection="1">
      <alignment horizontal="center" vertical="center" wrapText="1"/>
      <protection locked="0"/>
    </xf>
    <xf numFmtId="0" fontId="37" fillId="38" borderId="29" xfId="0" applyFont="1" applyFill="1" applyBorder="1" applyAlignment="1" applyProtection="1">
      <alignment horizontal="center" vertical="center" wrapText="1"/>
      <protection locked="0"/>
    </xf>
    <xf numFmtId="0" fontId="37" fillId="38" borderId="16" xfId="0" applyFont="1" applyFill="1" applyBorder="1" applyAlignment="1" applyProtection="1">
      <alignment horizontal="center" vertical="center" wrapText="1"/>
      <protection locked="0"/>
    </xf>
    <xf numFmtId="165" fontId="37" fillId="37" borderId="12" xfId="0" applyNumberFormat="1" applyFont="1" applyFill="1" applyBorder="1" applyAlignment="1" applyProtection="1">
      <alignment horizontal="center" vertical="center"/>
      <protection hidden="1"/>
    </xf>
    <xf numFmtId="165" fontId="37" fillId="37" borderId="13" xfId="0" applyNumberFormat="1" applyFont="1" applyFill="1" applyBorder="1" applyAlignment="1" applyProtection="1">
      <alignment horizontal="center" vertical="center"/>
      <protection hidden="1"/>
    </xf>
    <xf numFmtId="165" fontId="37" fillId="37" borderId="50" xfId="0" applyNumberFormat="1" applyFont="1" applyFill="1" applyBorder="1" applyAlignment="1" applyProtection="1">
      <alignment horizontal="center" vertical="center"/>
      <protection hidden="1"/>
    </xf>
    <xf numFmtId="0" fontId="37" fillId="37" borderId="7" xfId="0" applyFont="1" applyFill="1" applyBorder="1" applyAlignment="1" applyProtection="1">
      <alignment horizontal="center" vertical="center"/>
      <protection hidden="1"/>
    </xf>
    <xf numFmtId="0" fontId="37" fillId="37" borderId="8" xfId="0" applyFont="1" applyFill="1" applyBorder="1" applyAlignment="1" applyProtection="1">
      <alignment horizontal="center" vertical="center"/>
      <protection hidden="1"/>
    </xf>
    <xf numFmtId="0" fontId="37" fillId="37" borderId="52" xfId="0" applyFont="1" applyFill="1" applyBorder="1" applyAlignment="1" applyProtection="1">
      <alignment horizontal="center" vertical="center"/>
      <protection hidden="1"/>
    </xf>
    <xf numFmtId="165" fontId="37" fillId="37" borderId="10" xfId="0" applyNumberFormat="1" applyFont="1" applyFill="1" applyBorder="1" applyAlignment="1" applyProtection="1">
      <alignment horizontal="center" vertical="center"/>
      <protection hidden="1"/>
    </xf>
    <xf numFmtId="165" fontId="37" fillId="37" borderId="1" xfId="0" applyNumberFormat="1" applyFont="1" applyFill="1" applyBorder="1" applyAlignment="1" applyProtection="1">
      <alignment horizontal="center" vertical="center"/>
      <protection hidden="1"/>
    </xf>
    <xf numFmtId="165" fontId="37" fillId="37" borderId="3" xfId="0" applyNumberFormat="1" applyFont="1" applyFill="1" applyBorder="1" applyAlignment="1" applyProtection="1">
      <alignment horizontal="center" vertical="center"/>
      <protection hidden="1"/>
    </xf>
    <xf numFmtId="0" fontId="27" fillId="0" borderId="0" xfId="0" applyFont="1" applyAlignment="1">
      <alignment horizontal="center" vertical="center"/>
    </xf>
    <xf numFmtId="0" fontId="27" fillId="0" borderId="47" xfId="0" applyFont="1" applyBorder="1" applyAlignment="1">
      <alignment horizontal="center" vertical="center"/>
    </xf>
    <xf numFmtId="0" fontId="8" fillId="0" borderId="1" xfId="44" applyFont="1" applyBorder="1" applyAlignment="1">
      <alignment horizontal="center" vertical="center" wrapText="1"/>
    </xf>
    <xf numFmtId="0" fontId="5" fillId="38" borderId="43" xfId="0" applyFont="1" applyFill="1" applyBorder="1" applyAlignment="1">
      <alignment horizontal="center" vertical="center"/>
    </xf>
    <xf numFmtId="0" fontId="5" fillId="38" borderId="48" xfId="0" applyFont="1" applyFill="1" applyBorder="1" applyAlignment="1">
      <alignment horizontal="center" vertical="center"/>
    </xf>
    <xf numFmtId="0" fontId="5" fillId="38" borderId="3" xfId="0" applyFont="1" applyFill="1" applyBorder="1" applyAlignment="1">
      <alignment horizontal="center" vertical="center"/>
    </xf>
    <xf numFmtId="0" fontId="5" fillId="38" borderId="39" xfId="0" applyFont="1" applyFill="1" applyBorder="1" applyAlignment="1">
      <alignment horizontal="center" vertical="center"/>
    </xf>
    <xf numFmtId="0" fontId="5" fillId="38" borderId="2" xfId="0" applyFont="1" applyFill="1" applyBorder="1" applyAlignment="1">
      <alignment horizontal="center" vertical="center"/>
    </xf>
    <xf numFmtId="0" fontId="6" fillId="38" borderId="46" xfId="0" applyFont="1" applyFill="1" applyBorder="1" applyAlignment="1">
      <alignment horizontal="center" vertical="center" wrapText="1"/>
    </xf>
    <xf numFmtId="0" fontId="6" fillId="38" borderId="45" xfId="0" applyFont="1" applyFill="1" applyBorder="1" applyAlignment="1">
      <alignment horizontal="center" vertical="center" wrapText="1"/>
    </xf>
    <xf numFmtId="0" fontId="6" fillId="38" borderId="52" xfId="0" applyFont="1" applyFill="1" applyBorder="1" applyAlignment="1">
      <alignment horizontal="center" vertical="center" wrapText="1"/>
    </xf>
    <xf numFmtId="0" fontId="6" fillId="38" borderId="48" xfId="0" applyFont="1" applyFill="1" applyBorder="1" applyAlignment="1">
      <alignment horizontal="center" vertical="center" wrapText="1"/>
    </xf>
    <xf numFmtId="0" fontId="6" fillId="38" borderId="51" xfId="0" applyFont="1" applyFill="1" applyBorder="1" applyAlignment="1">
      <alignment horizontal="center" vertical="center" wrapText="1"/>
    </xf>
    <xf numFmtId="0" fontId="6" fillId="38" borderId="43" xfId="0" applyFont="1" applyFill="1" applyBorder="1" applyAlignment="1">
      <alignment horizontal="center" vertical="center" wrapText="1"/>
    </xf>
    <xf numFmtId="0" fontId="6" fillId="38" borderId="3" xfId="0" applyFont="1" applyFill="1" applyBorder="1" applyAlignment="1">
      <alignment horizontal="center" vertical="center" wrapText="1"/>
    </xf>
    <xf numFmtId="0" fontId="6" fillId="38" borderId="2" xfId="0" applyFont="1" applyFill="1" applyBorder="1" applyAlignment="1">
      <alignment horizontal="center" vertical="center" wrapText="1"/>
    </xf>
    <xf numFmtId="0" fontId="6" fillId="38" borderId="28" xfId="0" applyFont="1" applyFill="1" applyBorder="1" applyAlignment="1">
      <alignment horizontal="center" vertical="center" wrapText="1"/>
    </xf>
    <xf numFmtId="0" fontId="6" fillId="38" borderId="49" xfId="0" applyFont="1" applyFill="1" applyBorder="1" applyAlignment="1">
      <alignment horizontal="center" vertical="center" wrapText="1"/>
    </xf>
    <xf numFmtId="0" fontId="7" fillId="0" borderId="1" xfId="44" applyFont="1" applyBorder="1" applyAlignment="1">
      <alignment horizontal="center" vertical="center" wrapText="1"/>
    </xf>
    <xf numFmtId="0" fontId="7" fillId="0" borderId="11" xfId="44" applyFont="1" applyBorder="1" applyAlignment="1">
      <alignment horizontal="center" vertical="center" wrapText="1"/>
    </xf>
    <xf numFmtId="9" fontId="7" fillId="0" borderId="13" xfId="44" applyNumberFormat="1" applyFont="1" applyBorder="1" applyAlignment="1">
      <alignment horizontal="center" vertical="center" wrapText="1"/>
    </xf>
    <xf numFmtId="9" fontId="7" fillId="0" borderId="14" xfId="44" applyNumberFormat="1" applyFont="1" applyBorder="1" applyAlignment="1">
      <alignment horizontal="center" vertical="center" wrapText="1"/>
    </xf>
    <xf numFmtId="0" fontId="5" fillId="33" borderId="18" xfId="44" applyFont="1" applyFill="1" applyBorder="1" applyAlignment="1">
      <alignment horizontal="center" vertical="center" wrapText="1"/>
    </xf>
    <xf numFmtId="0" fontId="5" fillId="33" borderId="19" xfId="44" applyFont="1" applyFill="1" applyBorder="1" applyAlignment="1">
      <alignment horizontal="center" vertical="center" wrapText="1"/>
    </xf>
    <xf numFmtId="0" fontId="5" fillId="33" borderId="1" xfId="44" applyFont="1" applyFill="1" applyBorder="1" applyAlignment="1">
      <alignment horizontal="center" vertical="center" wrapText="1"/>
    </xf>
    <xf numFmtId="0" fontId="5" fillId="33" borderId="11" xfId="44" applyFont="1" applyFill="1" applyBorder="1" applyAlignment="1">
      <alignment horizontal="center" vertical="center" wrapText="1"/>
    </xf>
    <xf numFmtId="1" fontId="7" fillId="0" borderId="1" xfId="44" applyNumberFormat="1" applyFont="1" applyBorder="1" applyAlignment="1">
      <alignment horizontal="center" vertical="center" wrapText="1"/>
    </xf>
    <xf numFmtId="9" fontId="7" fillId="0" borderId="12" xfId="44" applyNumberFormat="1" applyFont="1" applyBorder="1" applyAlignment="1">
      <alignment horizontal="center" vertical="center" wrapText="1"/>
    </xf>
    <xf numFmtId="9" fontId="7" fillId="0" borderId="26" xfId="44" applyNumberFormat="1" applyFont="1" applyBorder="1" applyAlignment="1">
      <alignment horizontal="center" vertical="center" wrapText="1"/>
    </xf>
    <xf numFmtId="1" fontId="7" fillId="0" borderId="2" xfId="44" applyNumberFormat="1" applyFont="1" applyBorder="1" applyAlignment="1">
      <alignment horizontal="center" vertical="center" wrapText="1"/>
    </xf>
    <xf numFmtId="0" fontId="7" fillId="0" borderId="3" xfId="44" applyFont="1" applyBorder="1" applyAlignment="1">
      <alignment horizontal="center" vertical="center" wrapText="1"/>
    </xf>
    <xf numFmtId="1" fontId="7" fillId="0" borderId="10" xfId="44" applyNumberFormat="1" applyFont="1" applyBorder="1" applyAlignment="1">
      <alignment horizontal="center" vertical="center" wrapText="1"/>
    </xf>
    <xf numFmtId="9" fontId="8" fillId="0" borderId="51" xfId="72" applyFont="1" applyBorder="1" applyAlignment="1">
      <alignment horizontal="center" vertical="center" wrapText="1"/>
    </xf>
    <xf numFmtId="9" fontId="8" fillId="0" borderId="55" xfId="72" applyFont="1" applyBorder="1" applyAlignment="1">
      <alignment horizontal="center" vertical="center" wrapText="1"/>
    </xf>
    <xf numFmtId="9" fontId="8" fillId="0" borderId="0" xfId="72" applyFont="1" applyBorder="1" applyAlignment="1">
      <alignment horizontal="center" vertical="center" wrapText="1"/>
    </xf>
    <xf numFmtId="9" fontId="8" fillId="0" borderId="54" xfId="72" applyFont="1" applyBorder="1" applyAlignment="1">
      <alignment horizontal="center" vertical="center" wrapText="1"/>
    </xf>
    <xf numFmtId="9" fontId="8" fillId="0" borderId="43" xfId="72" applyFont="1" applyBorder="1" applyAlignment="1">
      <alignment horizontal="center" vertical="center" wrapText="1"/>
    </xf>
    <xf numFmtId="9" fontId="8" fillId="0" borderId="44" xfId="72" applyFont="1" applyBorder="1" applyAlignment="1">
      <alignment horizontal="center" vertical="center" wrapText="1"/>
    </xf>
    <xf numFmtId="0" fontId="7" fillId="0" borderId="10" xfId="44" applyFont="1" applyBorder="1" applyAlignment="1">
      <alignment horizontal="center" vertical="center" wrapText="1"/>
    </xf>
    <xf numFmtId="9" fontId="7" fillId="0" borderId="45" xfId="44" applyNumberFormat="1" applyFont="1" applyBorder="1" applyAlignment="1">
      <alignment horizontal="center" vertical="center" wrapText="1"/>
    </xf>
    <xf numFmtId="9" fontId="7" fillId="0" borderId="46" xfId="44" applyNumberFormat="1" applyFont="1" applyBorder="1" applyAlignment="1">
      <alignment horizontal="center" vertical="center" wrapText="1"/>
    </xf>
    <xf numFmtId="9" fontId="7" fillId="0" borderId="27" xfId="44" applyNumberFormat="1" applyFont="1" applyBorder="1" applyAlignment="1">
      <alignment horizontal="center" vertical="center" wrapText="1"/>
    </xf>
    <xf numFmtId="9" fontId="8" fillId="0" borderId="28" xfId="72" applyFont="1" applyBorder="1" applyAlignment="1">
      <alignment horizontal="center" vertical="center" wrapText="1"/>
    </xf>
    <xf numFmtId="9" fontId="8" fillId="0" borderId="29" xfId="72" applyFont="1" applyBorder="1" applyAlignment="1">
      <alignment horizontal="center" vertical="center" wrapText="1"/>
    </xf>
    <xf numFmtId="9" fontId="8" fillId="0" borderId="16" xfId="72" applyFont="1" applyBorder="1" applyAlignment="1">
      <alignment horizontal="center" vertical="center" wrapText="1"/>
    </xf>
    <xf numFmtId="9" fontId="7" fillId="0" borderId="72" xfId="44" applyNumberFormat="1" applyFont="1" applyBorder="1" applyAlignment="1">
      <alignment horizontal="center" vertical="center" wrapText="1"/>
    </xf>
    <xf numFmtId="0" fontId="5" fillId="33" borderId="17" xfId="44" applyFont="1" applyFill="1" applyBorder="1" applyAlignment="1">
      <alignment horizontal="center" vertical="center" wrapText="1"/>
    </xf>
    <xf numFmtId="0" fontId="28" fillId="33" borderId="10" xfId="44" applyFont="1" applyFill="1" applyBorder="1" applyAlignment="1">
      <alignment horizontal="center" vertical="center" wrapText="1"/>
    </xf>
    <xf numFmtId="0" fontId="28" fillId="33" borderId="1" xfId="44" applyFont="1" applyFill="1" applyBorder="1" applyAlignment="1">
      <alignment horizontal="center" vertical="center" wrapText="1"/>
    </xf>
    <xf numFmtId="0" fontId="28" fillId="33" borderId="3" xfId="44" applyFont="1" applyFill="1" applyBorder="1" applyAlignment="1">
      <alignment horizontal="center" vertical="center" wrapText="1"/>
    </xf>
    <xf numFmtId="0" fontId="5" fillId="33" borderId="10" xfId="44" applyFont="1" applyFill="1" applyBorder="1" applyAlignment="1">
      <alignment horizontal="center" vertical="center" wrapText="1"/>
    </xf>
    <xf numFmtId="0" fontId="30" fillId="33" borderId="39" xfId="44" applyFont="1" applyFill="1" applyBorder="1" applyAlignment="1">
      <alignment horizontal="center" vertical="center" wrapText="1"/>
    </xf>
    <xf numFmtId="0" fontId="30" fillId="33" borderId="40" xfId="44" applyFont="1" applyFill="1" applyBorder="1" applyAlignment="1">
      <alignment horizontal="center" vertical="center" wrapText="1"/>
    </xf>
    <xf numFmtId="0" fontId="5" fillId="33" borderId="48" xfId="44" applyFont="1" applyFill="1" applyBorder="1" applyAlignment="1">
      <alignment horizontal="center" vertical="center" wrapText="1"/>
    </xf>
    <xf numFmtId="0" fontId="5" fillId="33" borderId="8" xfId="44" applyFont="1" applyFill="1" applyBorder="1" applyAlignment="1">
      <alignment horizontal="center" vertical="center" wrapText="1"/>
    </xf>
    <xf numFmtId="0" fontId="5" fillId="33" borderId="52" xfId="44" applyFont="1" applyFill="1" applyBorder="1" applyAlignment="1">
      <alignment horizontal="center" vertical="center" wrapText="1"/>
    </xf>
    <xf numFmtId="9" fontId="8" fillId="0" borderId="24" xfId="72" applyFont="1" applyBorder="1" applyAlignment="1">
      <alignment horizontal="center" vertical="center" wrapText="1"/>
    </xf>
    <xf numFmtId="0" fontId="8" fillId="33" borderId="17" xfId="44" applyFont="1" applyFill="1" applyBorder="1" applyAlignment="1">
      <alignment horizontal="center" vertical="center" wrapText="1"/>
    </xf>
    <xf numFmtId="0" fontId="8" fillId="33" borderId="18" xfId="44" applyFont="1" applyFill="1" applyBorder="1" applyAlignment="1">
      <alignment horizontal="center" vertical="center" wrapText="1"/>
    </xf>
    <xf numFmtId="0" fontId="8" fillId="33" borderId="79" xfId="44" applyFont="1" applyFill="1" applyBorder="1" applyAlignment="1">
      <alignment horizontal="center" vertical="center" wrapText="1"/>
    </xf>
    <xf numFmtId="0" fontId="8" fillId="33" borderId="81" xfId="44" applyFont="1" applyFill="1" applyBorder="1" applyAlignment="1">
      <alignment horizontal="center" vertical="center" wrapText="1"/>
    </xf>
    <xf numFmtId="0" fontId="8" fillId="33" borderId="41" xfId="44" applyFont="1" applyFill="1" applyBorder="1" applyAlignment="1">
      <alignment horizontal="center" vertical="center" wrapText="1"/>
    </xf>
    <xf numFmtId="0" fontId="8" fillId="33" borderId="19" xfId="44" applyFont="1" applyFill="1" applyBorder="1" applyAlignment="1">
      <alignment horizontal="center" vertical="center" wrapText="1"/>
    </xf>
    <xf numFmtId="0" fontId="6" fillId="33" borderId="26" xfId="71" applyFont="1" applyFill="1" applyBorder="1" applyAlignment="1">
      <alignment horizontal="center" vertical="center" wrapText="1"/>
    </xf>
    <xf numFmtId="0" fontId="6" fillId="33" borderId="15" xfId="71" applyFont="1" applyFill="1" applyBorder="1" applyAlignment="1">
      <alignment horizontal="center" vertical="center" wrapText="1"/>
    </xf>
    <xf numFmtId="0" fontId="6" fillId="33" borderId="8" xfId="71" applyFont="1" applyFill="1" applyBorder="1" applyAlignment="1">
      <alignment horizontal="center" vertical="center" wrapText="1"/>
    </xf>
    <xf numFmtId="0" fontId="6" fillId="33" borderId="3" xfId="71" applyFont="1" applyFill="1" applyBorder="1" applyAlignment="1">
      <alignment horizontal="center" vertical="center" wrapText="1"/>
    </xf>
    <xf numFmtId="0" fontId="35" fillId="33" borderId="1" xfId="71" applyFont="1" applyFill="1" applyBorder="1" applyAlignment="1">
      <alignment horizontal="center" vertical="center" wrapText="1"/>
    </xf>
    <xf numFmtId="0" fontId="5" fillId="38" borderId="81" xfId="44" applyFont="1" applyFill="1" applyBorder="1" applyAlignment="1">
      <alignment horizontal="center" vertical="center" wrapText="1"/>
    </xf>
    <xf numFmtId="0" fontId="5" fillId="38" borderId="22" xfId="44" applyFont="1" applyFill="1" applyBorder="1" applyAlignment="1">
      <alignment horizontal="center" vertical="center" wrapText="1"/>
    </xf>
    <xf numFmtId="0" fontId="5" fillId="38" borderId="52" xfId="44" applyFont="1" applyFill="1" applyBorder="1" applyAlignment="1">
      <alignment horizontal="center" vertical="center" wrapText="1"/>
    </xf>
    <xf numFmtId="0" fontId="5" fillId="38" borderId="44" xfId="44" applyFont="1" applyFill="1" applyBorder="1" applyAlignment="1">
      <alignment horizontal="center" vertical="center" wrapText="1"/>
    </xf>
    <xf numFmtId="0" fontId="5" fillId="38" borderId="20" xfId="44" applyFont="1" applyFill="1" applyBorder="1" applyAlignment="1">
      <alignment horizontal="center" vertical="center" wrapText="1"/>
    </xf>
    <xf numFmtId="0" fontId="5" fillId="38" borderId="82" xfId="44" applyFont="1" applyFill="1" applyBorder="1" applyAlignment="1">
      <alignment horizontal="center" vertical="center" wrapText="1"/>
    </xf>
    <xf numFmtId="0" fontId="5" fillId="38" borderId="73" xfId="44" applyFont="1" applyFill="1" applyBorder="1" applyAlignment="1">
      <alignment horizontal="center" vertical="center" wrapText="1"/>
    </xf>
    <xf numFmtId="0" fontId="5" fillId="38" borderId="48" xfId="44" applyFont="1" applyFill="1" applyBorder="1" applyAlignment="1">
      <alignment horizontal="center" vertical="center" wrapText="1"/>
    </xf>
    <xf numFmtId="0" fontId="5" fillId="38" borderId="21" xfId="44" applyFont="1" applyFill="1" applyBorder="1" applyAlignment="1">
      <alignment horizontal="center" vertical="center" wrapText="1"/>
    </xf>
    <xf numFmtId="0" fontId="5" fillId="38" borderId="43" xfId="44" applyFont="1" applyFill="1" applyBorder="1" applyAlignment="1">
      <alignment horizontal="center" vertical="center" wrapText="1"/>
    </xf>
    <xf numFmtId="0" fontId="8" fillId="0" borderId="20" xfId="44" applyFont="1" applyBorder="1" applyAlignment="1">
      <alignment horizontal="center" vertical="center" wrapText="1"/>
    </xf>
    <xf numFmtId="0" fontId="8" fillId="0" borderId="21" xfId="44" applyFont="1" applyBorder="1" applyAlignment="1">
      <alignment horizontal="center" vertical="center" wrapText="1"/>
    </xf>
    <xf numFmtId="0" fontId="8" fillId="0" borderId="22" xfId="44" applyFont="1" applyBorder="1" applyAlignment="1">
      <alignment horizontal="center" vertical="center" wrapText="1"/>
    </xf>
    <xf numFmtId="0" fontId="8" fillId="0" borderId="23" xfId="44" applyFont="1" applyBorder="1" applyAlignment="1">
      <alignment horizontal="center" vertical="center" wrapText="1"/>
    </xf>
    <xf numFmtId="0" fontId="8" fillId="0" borderId="24" xfId="44" applyFont="1" applyBorder="1" applyAlignment="1">
      <alignment horizontal="center" vertical="center" wrapText="1"/>
    </xf>
    <xf numFmtId="0" fontId="8" fillId="0" borderId="25" xfId="44" applyFont="1" applyBorder="1" applyAlignment="1">
      <alignment horizontal="center" vertical="center" wrapText="1"/>
    </xf>
    <xf numFmtId="0" fontId="8" fillId="0" borderId="28" xfId="44" applyFont="1" applyBorder="1" applyAlignment="1">
      <alignment horizontal="center" vertical="center" wrapText="1"/>
    </xf>
    <xf numFmtId="0" fontId="8" fillId="0" borderId="29" xfId="44" applyFont="1" applyBorder="1" applyAlignment="1">
      <alignment horizontal="center" vertical="center" wrapText="1"/>
    </xf>
    <xf numFmtId="0" fontId="8" fillId="0" borderId="16" xfId="44" applyFont="1" applyBorder="1" applyAlignment="1">
      <alignment horizontal="center" vertical="center" wrapText="1"/>
    </xf>
    <xf numFmtId="0" fontId="5" fillId="38" borderId="26" xfId="71" applyFont="1" applyFill="1" applyBorder="1" applyAlignment="1">
      <alignment horizontal="center" vertical="center"/>
    </xf>
    <xf numFmtId="0" fontId="5" fillId="38" borderId="15" xfId="71" applyFont="1" applyFill="1" applyBorder="1" applyAlignment="1">
      <alignment horizontal="center" vertical="center"/>
    </xf>
    <xf numFmtId="0" fontId="5" fillId="38" borderId="8" xfId="71" applyFont="1" applyFill="1" applyBorder="1" applyAlignment="1">
      <alignment horizontal="center" vertical="center"/>
    </xf>
    <xf numFmtId="0" fontId="5" fillId="38" borderId="46" xfId="71" applyFont="1" applyFill="1" applyBorder="1" applyAlignment="1">
      <alignment horizontal="center" vertical="center" wrapText="1"/>
    </xf>
    <xf numFmtId="0" fontId="5" fillId="38" borderId="51" xfId="71" applyFont="1" applyFill="1" applyBorder="1" applyAlignment="1">
      <alignment horizontal="center" vertical="center" wrapText="1"/>
    </xf>
    <xf numFmtId="0" fontId="5" fillId="38" borderId="47" xfId="71" applyFont="1" applyFill="1" applyBorder="1" applyAlignment="1">
      <alignment horizontal="center" vertical="center" wrapText="1"/>
    </xf>
    <xf numFmtId="0" fontId="5" fillId="38" borderId="52" xfId="71" applyFont="1" applyFill="1" applyBorder="1" applyAlignment="1">
      <alignment horizontal="center" vertical="center" wrapText="1"/>
    </xf>
    <xf numFmtId="0" fontId="5" fillId="38" borderId="43" xfId="71" applyFont="1" applyFill="1" applyBorder="1" applyAlignment="1">
      <alignment horizontal="center" vertical="center" wrapText="1"/>
    </xf>
    <xf numFmtId="0" fontId="5" fillId="38" borderId="48" xfId="71" applyFont="1" applyFill="1" applyBorder="1" applyAlignment="1">
      <alignment horizontal="center" vertical="center" wrapText="1"/>
    </xf>
    <xf numFmtId="0" fontId="5" fillId="38" borderId="15" xfId="71" applyFont="1" applyFill="1" applyBorder="1" applyAlignment="1">
      <alignment horizontal="center" vertical="center" wrapText="1"/>
    </xf>
    <xf numFmtId="0" fontId="5" fillId="38" borderId="56" xfId="71" applyFont="1" applyFill="1" applyBorder="1" applyAlignment="1">
      <alignment horizontal="center" vertical="center"/>
    </xf>
    <xf numFmtId="0" fontId="5" fillId="38" borderId="52" xfId="71" applyFont="1" applyFill="1" applyBorder="1" applyAlignment="1">
      <alignment horizontal="center" vertical="center"/>
    </xf>
    <xf numFmtId="0" fontId="5" fillId="38" borderId="8" xfId="44" applyFont="1" applyFill="1" applyBorder="1" applyAlignment="1">
      <alignment horizontal="center" vertical="center" wrapText="1"/>
    </xf>
    <xf numFmtId="0" fontId="5" fillId="38" borderId="2" xfId="44" applyFont="1" applyFill="1" applyBorder="1" applyAlignment="1">
      <alignment horizontal="center" vertical="center" wrapText="1"/>
    </xf>
    <xf numFmtId="0" fontId="5" fillId="38" borderId="1" xfId="44" applyFont="1" applyFill="1" applyBorder="1" applyAlignment="1">
      <alignment horizontal="center" vertical="center" wrapText="1"/>
    </xf>
    <xf numFmtId="0" fontId="29" fillId="38" borderId="15" xfId="71" applyFont="1" applyFill="1" applyBorder="1" applyAlignment="1">
      <alignment horizontal="center" vertical="center" wrapText="1"/>
    </xf>
    <xf numFmtId="0" fontId="29" fillId="38" borderId="8" xfId="71" applyFont="1" applyFill="1" applyBorder="1" applyAlignment="1">
      <alignment horizontal="center" vertical="center" wrapText="1"/>
    </xf>
    <xf numFmtId="0" fontId="38" fillId="0" borderId="1" xfId="44" applyFont="1" applyBorder="1" applyAlignment="1">
      <alignment horizontal="center" vertical="center" wrapText="1"/>
    </xf>
    <xf numFmtId="0" fontId="38" fillId="0" borderId="3" xfId="44" applyFont="1" applyBorder="1" applyAlignment="1">
      <alignment horizontal="center" vertical="center" wrapText="1"/>
    </xf>
    <xf numFmtId="0" fontId="38" fillId="0" borderId="39" xfId="44" applyFont="1" applyBorder="1" applyAlignment="1">
      <alignment horizontal="center" vertical="center" wrapText="1"/>
    </xf>
    <xf numFmtId="0" fontId="38" fillId="0" borderId="2" xfId="44" applyFont="1" applyBorder="1" applyAlignment="1">
      <alignment horizontal="center" vertical="center" wrapText="1"/>
    </xf>
    <xf numFmtId="0" fontId="49" fillId="38" borderId="15" xfId="0" applyFont="1" applyFill="1" applyBorder="1" applyAlignment="1">
      <alignment horizontal="center" vertical="center"/>
    </xf>
    <xf numFmtId="0" fontId="49" fillId="38" borderId="26" xfId="0" applyFont="1" applyFill="1" applyBorder="1" applyAlignment="1">
      <alignment horizontal="center" vertical="center"/>
    </xf>
    <xf numFmtId="9" fontId="40" fillId="41" borderId="4" xfId="58" applyNumberFormat="1" applyFont="1" applyFill="1" applyBorder="1" applyAlignment="1">
      <alignment horizontal="center" vertical="center"/>
    </xf>
    <xf numFmtId="9" fontId="40" fillId="41" borderId="5" xfId="58" applyNumberFormat="1" applyFont="1" applyFill="1" applyBorder="1" applyAlignment="1">
      <alignment horizontal="center" vertical="center"/>
    </xf>
    <xf numFmtId="9" fontId="40" fillId="41" borderId="6" xfId="58" applyNumberFormat="1" applyFont="1" applyFill="1" applyBorder="1" applyAlignment="1">
      <alignment horizontal="center" vertical="center"/>
    </xf>
    <xf numFmtId="0" fontId="8" fillId="32" borderId="3" xfId="44" applyFont="1" applyFill="1" applyBorder="1" applyAlignment="1">
      <alignment horizontal="center" vertical="center" wrapText="1"/>
    </xf>
    <xf numFmtId="0" fontId="8" fillId="32" borderId="39" xfId="44" applyFont="1" applyFill="1" applyBorder="1" applyAlignment="1">
      <alignment horizontal="center" vertical="center" wrapText="1"/>
    </xf>
    <xf numFmtId="0" fontId="8" fillId="32" borderId="2" xfId="44" applyFont="1" applyFill="1" applyBorder="1" applyAlignment="1">
      <alignment horizontal="center" vertical="center" wrapText="1"/>
    </xf>
    <xf numFmtId="9" fontId="41" fillId="41" borderId="20" xfId="58" applyNumberFormat="1" applyFont="1" applyFill="1" applyBorder="1" applyAlignment="1">
      <alignment horizontal="center" vertical="center" wrapText="1"/>
    </xf>
    <xf numFmtId="9" fontId="41" fillId="41" borderId="21" xfId="58" applyNumberFormat="1" applyFont="1" applyFill="1" applyBorder="1" applyAlignment="1">
      <alignment horizontal="center" vertical="center" wrapText="1"/>
    </xf>
    <xf numFmtId="9" fontId="41" fillId="41" borderId="22" xfId="58" applyNumberFormat="1" applyFont="1" applyFill="1" applyBorder="1" applyAlignment="1">
      <alignment horizontal="center" vertical="center" wrapText="1"/>
    </xf>
    <xf numFmtId="9" fontId="41" fillId="41" borderId="23" xfId="58" applyNumberFormat="1" applyFont="1" applyFill="1" applyBorder="1" applyAlignment="1">
      <alignment horizontal="center" vertical="center" wrapText="1"/>
    </xf>
    <xf numFmtId="9" fontId="41" fillId="41" borderId="24" xfId="58" applyNumberFormat="1" applyFont="1" applyFill="1" applyBorder="1" applyAlignment="1">
      <alignment horizontal="center" vertical="center" wrapText="1"/>
    </xf>
    <xf numFmtId="9" fontId="41" fillId="41" borderId="25" xfId="58" applyNumberFormat="1" applyFont="1" applyFill="1" applyBorder="1" applyAlignment="1">
      <alignment horizontal="center" vertical="center" wrapText="1"/>
    </xf>
    <xf numFmtId="0" fontId="15" fillId="35" borderId="64" xfId="58" applyFont="1" applyFill="1" applyBorder="1" applyAlignment="1">
      <alignment horizontal="center" vertical="center" wrapText="1"/>
    </xf>
    <xf numFmtId="0" fontId="15" fillId="35" borderId="65" xfId="58" applyFont="1" applyFill="1" applyBorder="1" applyAlignment="1">
      <alignment horizontal="center" vertical="center" wrapText="1"/>
    </xf>
    <xf numFmtId="0" fontId="15" fillId="35" borderId="66" xfId="58" applyFont="1" applyFill="1" applyBorder="1" applyAlignment="1">
      <alignment horizontal="center" vertical="center" wrapText="1"/>
    </xf>
    <xf numFmtId="0" fontId="15" fillId="35" borderId="57" xfId="58" applyFont="1" applyFill="1" applyBorder="1" applyAlignment="1">
      <alignment horizontal="center" vertical="center" wrapText="1"/>
    </xf>
    <xf numFmtId="0" fontId="15" fillId="35" borderId="58" xfId="58" applyFont="1" applyFill="1" applyBorder="1" applyAlignment="1">
      <alignment horizontal="center" vertical="center" wrapText="1"/>
    </xf>
    <xf numFmtId="0" fontId="15" fillId="35" borderId="59" xfId="58" applyFont="1" applyFill="1" applyBorder="1" applyAlignment="1">
      <alignment horizontal="center" vertical="center" wrapText="1"/>
    </xf>
    <xf numFmtId="9" fontId="41" fillId="41" borderId="53" xfId="58" applyNumberFormat="1" applyFont="1" applyFill="1" applyBorder="1" applyAlignment="1">
      <alignment horizontal="center" vertical="center" wrapText="1"/>
    </xf>
    <xf numFmtId="9" fontId="41" fillId="41" borderId="0" xfId="58" applyNumberFormat="1" applyFont="1" applyFill="1" applyAlignment="1">
      <alignment horizontal="center" vertical="center" wrapText="1"/>
    </xf>
    <xf numFmtId="9" fontId="41" fillId="41" borderId="54" xfId="58" applyNumberFormat="1" applyFont="1" applyFill="1" applyBorder="1" applyAlignment="1">
      <alignment horizontal="center" vertical="center" wrapText="1"/>
    </xf>
    <xf numFmtId="9" fontId="41" fillId="41" borderId="68" xfId="58" applyNumberFormat="1" applyFont="1" applyFill="1" applyBorder="1" applyAlignment="1">
      <alignment horizontal="center" vertical="center" wrapText="1"/>
    </xf>
    <xf numFmtId="9" fontId="41" fillId="41" borderId="61" xfId="58" applyNumberFormat="1" applyFont="1" applyFill="1" applyBorder="1" applyAlignment="1">
      <alignment horizontal="center" vertical="center" wrapText="1"/>
    </xf>
    <xf numFmtId="9" fontId="41" fillId="41" borderId="69" xfId="58" applyNumberFormat="1" applyFont="1" applyFill="1" applyBorder="1" applyAlignment="1">
      <alignment horizontal="center" vertical="center" wrapText="1"/>
    </xf>
    <xf numFmtId="9" fontId="41" fillId="41" borderId="70" xfId="58" applyNumberFormat="1" applyFont="1" applyFill="1" applyBorder="1" applyAlignment="1">
      <alignment horizontal="center" vertical="center" wrapText="1"/>
    </xf>
    <xf numFmtId="9" fontId="41" fillId="41" borderId="71" xfId="58" applyNumberFormat="1" applyFont="1" applyFill="1" applyBorder="1" applyAlignment="1">
      <alignment horizontal="center" vertical="center" wrapText="1"/>
    </xf>
    <xf numFmtId="9" fontId="8" fillId="40" borderId="19" xfId="57" applyNumberFormat="1" applyFont="1" applyFill="1" applyBorder="1" applyAlignment="1">
      <alignment horizontal="center" vertical="center"/>
    </xf>
    <xf numFmtId="9" fontId="8" fillId="40" borderId="72" xfId="57" applyNumberFormat="1" applyFont="1" applyFill="1" applyBorder="1" applyAlignment="1">
      <alignment horizontal="center" vertical="center"/>
    </xf>
    <xf numFmtId="0" fontId="53" fillId="33" borderId="17" xfId="58" applyFont="1" applyFill="1" applyBorder="1" applyAlignment="1">
      <alignment horizontal="center" vertical="center" wrapText="1"/>
    </xf>
    <xf numFmtId="0" fontId="53" fillId="33" borderId="27" xfId="58" applyFont="1" applyFill="1" applyBorder="1" applyAlignment="1">
      <alignment horizontal="center" vertical="center" wrapText="1"/>
    </xf>
    <xf numFmtId="0" fontId="53" fillId="33" borderId="18" xfId="58" applyFont="1" applyFill="1" applyBorder="1" applyAlignment="1">
      <alignment horizontal="center" vertical="center" wrapText="1"/>
    </xf>
    <xf numFmtId="0" fontId="53" fillId="33" borderId="26" xfId="58" applyFont="1" applyFill="1" applyBorder="1" applyAlignment="1">
      <alignment horizontal="center" vertical="center" wrapText="1"/>
    </xf>
    <xf numFmtId="0" fontId="54" fillId="40" borderId="17" xfId="44" applyFont="1" applyFill="1" applyBorder="1" applyAlignment="1">
      <alignment horizontal="center" vertical="center" wrapText="1"/>
    </xf>
    <xf numFmtId="0" fontId="54" fillId="40" borderId="12" xfId="44" applyFont="1" applyFill="1" applyBorder="1" applyAlignment="1">
      <alignment horizontal="center" vertical="center" wrapText="1"/>
    </xf>
    <xf numFmtId="9" fontId="54" fillId="40" borderId="18" xfId="44" applyNumberFormat="1" applyFont="1" applyFill="1" applyBorder="1" applyAlignment="1">
      <alignment horizontal="center" vertical="center" wrapText="1"/>
    </xf>
    <xf numFmtId="9" fontId="54" fillId="40" borderId="13" xfId="44" applyNumberFormat="1" applyFont="1" applyFill="1" applyBorder="1" applyAlignment="1">
      <alignment horizontal="center" vertical="center" wrapText="1"/>
    </xf>
    <xf numFmtId="9" fontId="55" fillId="40" borderId="18" xfId="44" applyNumberFormat="1" applyFont="1" applyFill="1" applyBorder="1" applyAlignment="1">
      <alignment horizontal="center" vertical="center" wrapText="1"/>
    </xf>
    <xf numFmtId="9" fontId="55" fillId="40" borderId="13" xfId="44" applyNumberFormat="1" applyFont="1" applyFill="1" applyBorder="1" applyAlignment="1">
      <alignment horizontal="center" vertical="center" wrapText="1"/>
    </xf>
    <xf numFmtId="0" fontId="46" fillId="40" borderId="41" xfId="44" applyFont="1" applyFill="1" applyBorder="1" applyAlignment="1">
      <alignment horizontal="center" vertical="center"/>
    </xf>
    <xf numFmtId="0" fontId="46" fillId="40" borderId="50" xfId="44" applyFont="1" applyFill="1" applyBorder="1" applyAlignment="1">
      <alignment horizontal="center" vertical="center"/>
    </xf>
    <xf numFmtId="9" fontId="53" fillId="40" borderId="18" xfId="58" applyNumberFormat="1" applyFont="1" applyFill="1" applyBorder="1" applyAlignment="1">
      <alignment horizontal="center" vertical="center" wrapText="1"/>
    </xf>
    <xf numFmtId="0" fontId="53" fillId="40" borderId="1" xfId="58" applyFont="1" applyFill="1" applyBorder="1" applyAlignment="1">
      <alignment horizontal="center" vertical="center" wrapText="1"/>
    </xf>
    <xf numFmtId="0" fontId="53" fillId="40" borderId="13" xfId="58" applyFont="1" applyFill="1" applyBorder="1" applyAlignment="1">
      <alignment horizontal="center" vertical="center" wrapText="1"/>
    </xf>
    <xf numFmtId="0" fontId="53" fillId="40" borderId="17" xfId="58" applyFont="1" applyFill="1" applyBorder="1" applyAlignment="1">
      <alignment horizontal="center" vertical="center" wrapText="1"/>
    </xf>
    <xf numFmtId="0" fontId="53" fillId="40" borderId="10" xfId="58" applyFont="1" applyFill="1" applyBorder="1" applyAlignment="1">
      <alignment horizontal="center" vertical="center" wrapText="1"/>
    </xf>
    <xf numFmtId="0" fontId="53" fillId="40" borderId="12" xfId="58" applyFont="1" applyFill="1" applyBorder="1" applyAlignment="1">
      <alignment horizontal="center" vertical="center" wrapText="1"/>
    </xf>
    <xf numFmtId="0" fontId="55" fillId="40" borderId="7" xfId="44" applyFont="1" applyFill="1" applyBorder="1" applyAlignment="1">
      <alignment horizontal="center" vertical="center" wrapText="1"/>
    </xf>
    <xf numFmtId="0" fontId="55" fillId="40" borderId="12" xfId="44" applyFont="1" applyFill="1" applyBorder="1" applyAlignment="1">
      <alignment horizontal="center" vertical="center" wrapText="1"/>
    </xf>
    <xf numFmtId="9" fontId="55" fillId="40" borderId="8" xfId="44" applyNumberFormat="1" applyFont="1" applyFill="1" applyBorder="1" applyAlignment="1">
      <alignment horizontal="center" vertical="center"/>
    </xf>
    <xf numFmtId="9" fontId="55" fillId="40" borderId="13" xfId="44" applyNumberFormat="1" applyFont="1" applyFill="1" applyBorder="1" applyAlignment="1">
      <alignment horizontal="center" vertical="center"/>
    </xf>
    <xf numFmtId="0" fontId="55" fillId="40" borderId="8" xfId="44" applyFont="1" applyFill="1" applyBorder="1" applyAlignment="1">
      <alignment horizontal="center" vertical="center" wrapText="1"/>
    </xf>
    <xf numFmtId="0" fontId="55" fillId="40" borderId="13" xfId="44" applyFont="1" applyFill="1" applyBorder="1" applyAlignment="1">
      <alignment horizontal="center" vertical="center" wrapText="1"/>
    </xf>
    <xf numFmtId="0" fontId="46" fillId="40" borderId="9" xfId="44" applyFont="1" applyFill="1" applyBorder="1" applyAlignment="1">
      <alignment horizontal="center" vertical="center"/>
    </xf>
    <xf numFmtId="0" fontId="46" fillId="40" borderId="14" xfId="44" applyFont="1" applyFill="1" applyBorder="1" applyAlignment="1">
      <alignment horizontal="center" vertical="center"/>
    </xf>
    <xf numFmtId="9" fontId="55" fillId="40" borderId="18" xfId="44" applyNumberFormat="1" applyFont="1" applyFill="1" applyBorder="1" applyAlignment="1">
      <alignment horizontal="center" vertical="center"/>
    </xf>
    <xf numFmtId="0" fontId="55" fillId="40" borderId="18" xfId="44" applyFont="1" applyFill="1" applyBorder="1" applyAlignment="1">
      <alignment horizontal="center" vertical="center" wrapText="1"/>
    </xf>
    <xf numFmtId="0" fontId="53" fillId="40" borderId="18" xfId="58" applyFont="1" applyFill="1" applyBorder="1" applyAlignment="1">
      <alignment horizontal="center" vertical="center" wrapText="1"/>
    </xf>
    <xf numFmtId="9" fontId="8" fillId="40" borderId="78" xfId="57" applyNumberFormat="1" applyFont="1" applyFill="1" applyBorder="1" applyAlignment="1">
      <alignment horizontal="center" vertical="center"/>
    </xf>
    <xf numFmtId="9" fontId="8" fillId="40" borderId="42" xfId="57" applyNumberFormat="1" applyFont="1" applyFill="1" applyBorder="1" applyAlignment="1">
      <alignment horizontal="center" vertical="center"/>
    </xf>
    <xf numFmtId="0" fontId="55" fillId="40" borderId="17" xfId="44" applyFont="1" applyFill="1" applyBorder="1" applyAlignment="1">
      <alignment horizontal="center" vertical="center" wrapText="1"/>
    </xf>
    <xf numFmtId="0" fontId="46" fillId="40" borderId="19" xfId="44" applyFont="1" applyFill="1" applyBorder="1" applyAlignment="1">
      <alignment horizontal="center" vertical="center"/>
    </xf>
    <xf numFmtId="0" fontId="27" fillId="0" borderId="13" xfId="44" applyFont="1" applyBorder="1" applyAlignment="1">
      <alignment horizontal="center" vertical="center" wrapText="1"/>
    </xf>
    <xf numFmtId="0" fontId="27" fillId="0" borderId="14" xfId="44" applyFont="1" applyBorder="1" applyAlignment="1">
      <alignment horizontal="center" vertical="center" wrapText="1"/>
    </xf>
    <xf numFmtId="0" fontId="37" fillId="32" borderId="10" xfId="44" applyFont="1" applyFill="1" applyBorder="1" applyAlignment="1">
      <alignment horizontal="center" vertical="center" wrapText="1"/>
    </xf>
    <xf numFmtId="0" fontId="46" fillId="32" borderId="1" xfId="44" applyFont="1" applyFill="1" applyBorder="1" applyAlignment="1">
      <alignment horizontal="center" vertical="center" wrapText="1"/>
    </xf>
    <xf numFmtId="0" fontId="47" fillId="0" borderId="1" xfId="44" applyFont="1" applyBorder="1" applyAlignment="1">
      <alignment horizontal="center" vertical="center" wrapText="1"/>
    </xf>
    <xf numFmtId="0" fontId="47" fillId="0" borderId="11" xfId="44" applyFont="1" applyBorder="1" applyAlignment="1">
      <alignment horizontal="center" vertical="center" wrapText="1"/>
    </xf>
    <xf numFmtId="0" fontId="27" fillId="0" borderId="1" xfId="44" applyFont="1" applyBorder="1" applyAlignment="1">
      <alignment horizontal="center" vertical="center" wrapText="1"/>
    </xf>
    <xf numFmtId="14" fontId="27" fillId="0" borderId="1" xfId="44" applyNumberFormat="1" applyFont="1" applyBorder="1" applyAlignment="1">
      <alignment horizontal="center" vertical="center" wrapText="1"/>
    </xf>
    <xf numFmtId="0" fontId="27" fillId="0" borderId="11" xfId="44" applyFont="1" applyBorder="1" applyAlignment="1">
      <alignment horizontal="center" vertical="center" wrapText="1"/>
    </xf>
    <xf numFmtId="0" fontId="52" fillId="33" borderId="17" xfId="44" applyFont="1" applyFill="1" applyBorder="1" applyAlignment="1">
      <alignment horizontal="center" vertical="center" wrapText="1"/>
    </xf>
    <xf numFmtId="0" fontId="52" fillId="33" borderId="18" xfId="44" applyFont="1" applyFill="1" applyBorder="1" applyAlignment="1">
      <alignment horizontal="center" vertical="center" wrapText="1"/>
    </xf>
    <xf numFmtId="0" fontId="52" fillId="33" borderId="10" xfId="44" applyFont="1" applyFill="1" applyBorder="1" applyAlignment="1">
      <alignment horizontal="center" vertical="center" wrapText="1"/>
    </xf>
    <xf numFmtId="0" fontId="52" fillId="33" borderId="1" xfId="44" applyFont="1" applyFill="1" applyBorder="1" applyAlignment="1">
      <alignment horizontal="center" vertical="center" wrapText="1"/>
    </xf>
    <xf numFmtId="0" fontId="52" fillId="33" borderId="19" xfId="44" applyFont="1" applyFill="1" applyBorder="1" applyAlignment="1">
      <alignment horizontal="center" vertical="center" wrapText="1"/>
    </xf>
    <xf numFmtId="0" fontId="52" fillId="33" borderId="11" xfId="44" applyFont="1" applyFill="1" applyBorder="1" applyAlignment="1">
      <alignment horizontal="center" vertical="center" wrapText="1"/>
    </xf>
    <xf numFmtId="0" fontId="7" fillId="0" borderId="0" xfId="57" applyFont="1" applyAlignment="1">
      <alignment horizontal="center"/>
    </xf>
    <xf numFmtId="0" fontId="39" fillId="0" borderId="20" xfId="44" applyFont="1" applyBorder="1" applyAlignment="1">
      <alignment horizontal="center" wrapText="1"/>
    </xf>
    <xf numFmtId="0" fontId="39" fillId="0" borderId="21" xfId="44" applyFont="1" applyBorder="1" applyAlignment="1">
      <alignment horizontal="center"/>
    </xf>
    <xf numFmtId="0" fontId="39" fillId="0" borderId="22" xfId="44" applyFont="1" applyBorder="1" applyAlignment="1">
      <alignment horizontal="center"/>
    </xf>
    <xf numFmtId="0" fontId="53" fillId="33" borderId="41" xfId="58" applyFont="1" applyFill="1" applyBorder="1" applyAlignment="1">
      <alignment horizontal="center" vertical="center" wrapText="1"/>
    </xf>
    <xf numFmtId="0" fontId="53" fillId="33" borderId="46" xfId="58" applyFont="1" applyFill="1" applyBorder="1" applyAlignment="1">
      <alignment horizontal="center" vertical="center" wrapText="1"/>
    </xf>
    <xf numFmtId="0" fontId="15" fillId="35" borderId="57" xfId="58" applyFont="1" applyFill="1" applyBorder="1" applyAlignment="1">
      <alignment horizontal="center" vertical="center"/>
    </xf>
    <xf numFmtId="0" fontId="15" fillId="35" borderId="58" xfId="58" applyFont="1" applyFill="1" applyBorder="1" applyAlignment="1">
      <alignment horizontal="center" vertical="center"/>
    </xf>
    <xf numFmtId="0" fontId="15" fillId="35" borderId="67" xfId="58" applyFont="1" applyFill="1" applyBorder="1" applyAlignment="1">
      <alignment horizontal="center" vertical="center"/>
    </xf>
    <xf numFmtId="0" fontId="15" fillId="35" borderId="59" xfId="58" applyFont="1" applyFill="1" applyBorder="1" applyAlignment="1">
      <alignment horizontal="center" vertical="center"/>
    </xf>
    <xf numFmtId="9" fontId="8" fillId="40" borderId="22" xfId="57" applyNumberFormat="1" applyFont="1" applyFill="1" applyBorder="1" applyAlignment="1">
      <alignment horizontal="center" vertical="center" wrapText="1"/>
    </xf>
    <xf numFmtId="9" fontId="8" fillId="40" borderId="54" xfId="57" applyNumberFormat="1" applyFont="1" applyFill="1" applyBorder="1" applyAlignment="1">
      <alignment horizontal="center" vertical="center" wrapText="1"/>
    </xf>
    <xf numFmtId="9" fontId="8" fillId="40" borderId="44" xfId="57" applyNumberFormat="1" applyFont="1" applyFill="1" applyBorder="1" applyAlignment="1">
      <alignment horizontal="center" vertical="center" wrapText="1"/>
    </xf>
    <xf numFmtId="9" fontId="8" fillId="40" borderId="42" xfId="57" applyNumberFormat="1" applyFont="1" applyFill="1" applyBorder="1" applyAlignment="1">
      <alignment horizontal="center" vertical="center" wrapText="1"/>
    </xf>
    <xf numFmtId="0" fontId="37" fillId="40" borderId="41" xfId="58" applyFont="1" applyFill="1" applyBorder="1" applyAlignment="1">
      <alignment horizontal="center" vertical="center" wrapText="1"/>
    </xf>
    <xf numFmtId="0" fontId="37" fillId="40" borderId="3" xfId="58" applyFont="1" applyFill="1" applyBorder="1" applyAlignment="1">
      <alignment horizontal="center" vertical="center" wrapText="1"/>
    </xf>
    <xf numFmtId="0" fontId="37" fillId="40" borderId="50" xfId="58" applyFont="1" applyFill="1" applyBorder="1" applyAlignment="1">
      <alignment horizontal="center" vertical="center" wrapText="1"/>
    </xf>
    <xf numFmtId="0" fontId="15" fillId="35" borderId="2" xfId="58" applyFont="1" applyFill="1" applyBorder="1" applyAlignment="1">
      <alignment horizontal="center" vertical="center" wrapText="1"/>
    </xf>
    <xf numFmtId="0" fontId="15" fillId="35" borderId="45" xfId="58" applyFont="1" applyFill="1" applyBorder="1" applyAlignment="1">
      <alignment horizontal="center" vertical="center" wrapText="1"/>
    </xf>
    <xf numFmtId="9" fontId="8" fillId="40" borderId="78" xfId="57" applyNumberFormat="1" applyFont="1" applyFill="1" applyBorder="1" applyAlignment="1">
      <alignment horizontal="center" vertical="center" wrapText="1"/>
    </xf>
    <xf numFmtId="0" fontId="8" fillId="40" borderId="42" xfId="57" applyFont="1" applyFill="1" applyBorder="1" applyAlignment="1">
      <alignment horizontal="center" vertical="center" wrapText="1"/>
    </xf>
    <xf numFmtId="0" fontId="37" fillId="40" borderId="19" xfId="58" applyFont="1" applyFill="1" applyBorder="1" applyAlignment="1">
      <alignment horizontal="center" vertical="center" wrapText="1"/>
    </xf>
    <xf numFmtId="0" fontId="37" fillId="40" borderId="14" xfId="58" applyFont="1" applyFill="1" applyBorder="1" applyAlignment="1">
      <alignment horizontal="center" vertical="center" wrapText="1"/>
    </xf>
    <xf numFmtId="0" fontId="7" fillId="0" borderId="20" xfId="57" applyFont="1" applyBorder="1" applyAlignment="1">
      <alignment horizontal="center"/>
    </xf>
    <xf numFmtId="0" fontId="7" fillId="0" borderId="21" xfId="57" applyFont="1" applyBorder="1" applyAlignment="1">
      <alignment horizontal="center"/>
    </xf>
    <xf numFmtId="0" fontId="7" fillId="0" borderId="22" xfId="57" applyFont="1" applyBorder="1" applyAlignment="1">
      <alignment horizontal="center"/>
    </xf>
    <xf numFmtId="0" fontId="7" fillId="0" borderId="23" xfId="57" applyFont="1" applyBorder="1" applyAlignment="1">
      <alignment horizontal="center"/>
    </xf>
    <xf numFmtId="0" fontId="7" fillId="0" borderId="24" xfId="57" applyFont="1" applyBorder="1" applyAlignment="1">
      <alignment horizontal="center"/>
    </xf>
    <xf numFmtId="0" fontId="7" fillId="0" borderId="25" xfId="57" applyFont="1" applyBorder="1" applyAlignment="1">
      <alignment horizontal="center"/>
    </xf>
    <xf numFmtId="0" fontId="7" fillId="0" borderId="53" xfId="57" applyFont="1" applyBorder="1" applyAlignment="1">
      <alignment horizontal="center"/>
    </xf>
    <xf numFmtId="0" fontId="7" fillId="0" borderId="54" xfId="57" applyFont="1" applyBorder="1" applyAlignment="1">
      <alignment horizontal="center"/>
    </xf>
    <xf numFmtId="0" fontId="33" fillId="36" borderId="20" xfId="57" applyFont="1" applyFill="1" applyBorder="1" applyAlignment="1">
      <alignment horizontal="center" wrapText="1"/>
    </xf>
    <xf numFmtId="0" fontId="33" fillId="36" borderId="21" xfId="57" applyFont="1" applyFill="1" applyBorder="1" applyAlignment="1">
      <alignment horizontal="center" wrapText="1"/>
    </xf>
    <xf numFmtId="0" fontId="33" fillId="36" borderId="22" xfId="57" applyFont="1" applyFill="1" applyBorder="1" applyAlignment="1">
      <alignment horizontal="center" wrapText="1"/>
    </xf>
    <xf numFmtId="0" fontId="45" fillId="0" borderId="23" xfId="57" applyFont="1" applyBorder="1" applyAlignment="1">
      <alignment horizontal="center" vertical="center" wrapText="1"/>
    </xf>
    <xf numFmtId="0" fontId="45" fillId="0" borderId="24" xfId="57" applyFont="1" applyBorder="1" applyAlignment="1">
      <alignment horizontal="center" vertical="center" wrapText="1"/>
    </xf>
    <xf numFmtId="0" fontId="45" fillId="0" borderId="25" xfId="57" applyFont="1" applyBorder="1" applyAlignment="1">
      <alignment horizontal="center" vertical="center" wrapText="1"/>
    </xf>
    <xf numFmtId="0" fontId="15" fillId="35" borderId="46" xfId="58" applyFont="1" applyFill="1" applyBorder="1" applyAlignment="1">
      <alignment horizontal="center" vertical="center" wrapText="1"/>
    </xf>
    <xf numFmtId="0" fontId="15" fillId="35" borderId="51" xfId="58" applyFont="1" applyFill="1" applyBorder="1" applyAlignment="1">
      <alignment horizontal="center" vertical="center" wrapText="1"/>
    </xf>
    <xf numFmtId="0" fontId="15" fillId="35" borderId="56" xfId="58" applyFont="1" applyFill="1" applyBorder="1" applyAlignment="1">
      <alignment horizontal="center" vertical="center" wrapText="1"/>
    </xf>
    <xf numFmtId="0" fontId="15" fillId="35" borderId="0" xfId="58" applyFont="1" applyFill="1" applyAlignment="1">
      <alignment horizontal="center" vertical="center" wrapText="1"/>
    </xf>
    <xf numFmtId="0" fontId="15" fillId="35" borderId="47" xfId="58" applyFont="1" applyFill="1" applyBorder="1" applyAlignment="1">
      <alignment horizontal="center" vertical="center" wrapText="1"/>
    </xf>
    <xf numFmtId="9" fontId="41" fillId="41" borderId="77" xfId="58" applyNumberFormat="1" applyFont="1" applyFill="1" applyBorder="1" applyAlignment="1">
      <alignment horizontal="center" vertical="center" wrapText="1"/>
    </xf>
    <xf numFmtId="9" fontId="8" fillId="40" borderId="19" xfId="57" applyNumberFormat="1" applyFont="1" applyFill="1" applyBorder="1" applyAlignment="1">
      <alignment horizontal="center" vertical="center" wrapText="1"/>
    </xf>
    <xf numFmtId="9" fontId="8" fillId="40" borderId="14" xfId="57" applyNumberFormat="1" applyFont="1" applyFill="1" applyBorder="1" applyAlignment="1">
      <alignment horizontal="center" vertical="center" wrapText="1"/>
    </xf>
    <xf numFmtId="0" fontId="63" fillId="45" borderId="4" xfId="0" applyFont="1" applyFill="1" applyBorder="1" applyAlignment="1">
      <alignment horizontal="center" vertical="center"/>
    </xf>
    <xf numFmtId="0" fontId="63" fillId="45" borderId="5" xfId="0" applyFont="1" applyFill="1" applyBorder="1" applyAlignment="1">
      <alignment horizontal="center" vertical="center"/>
    </xf>
    <xf numFmtId="0" fontId="63" fillId="45" borderId="6" xfId="0" applyFont="1" applyFill="1" applyBorder="1" applyAlignment="1">
      <alignment horizontal="center" vertical="center"/>
    </xf>
    <xf numFmtId="0" fontId="63" fillId="45" borderId="76" xfId="0" applyFont="1" applyFill="1" applyBorder="1" applyAlignment="1">
      <alignment horizontal="center" vertical="center"/>
    </xf>
    <xf numFmtId="0" fontId="63" fillId="40" borderId="28" xfId="0" applyFont="1" applyFill="1" applyBorder="1" applyAlignment="1">
      <alignment horizontal="center" vertical="center" wrapText="1"/>
    </xf>
    <xf numFmtId="0" fontId="63" fillId="40" borderId="16" xfId="0" applyFont="1" applyFill="1" applyBorder="1" applyAlignment="1">
      <alignment horizontal="center" vertical="center" wrapText="1"/>
    </xf>
    <xf numFmtId="0" fontId="63" fillId="46" borderId="28" xfId="0" applyFont="1" applyFill="1" applyBorder="1" applyAlignment="1">
      <alignment horizontal="center" vertical="center" wrapText="1"/>
    </xf>
    <xf numFmtId="0" fontId="63" fillId="46" borderId="16" xfId="0" applyFont="1" applyFill="1" applyBorder="1" applyAlignment="1">
      <alignment horizontal="center" vertical="center" wrapText="1"/>
    </xf>
    <xf numFmtId="0" fontId="63" fillId="40" borderId="85" xfId="0" applyFont="1" applyFill="1" applyBorder="1" applyAlignment="1">
      <alignment horizontal="center" vertical="center"/>
    </xf>
    <xf numFmtId="0" fontId="63" fillId="40" borderId="84" xfId="0" applyFont="1" applyFill="1" applyBorder="1" applyAlignment="1">
      <alignment horizontal="center" vertical="center"/>
    </xf>
    <xf numFmtId="0" fontId="63" fillId="46" borderId="83" xfId="0" applyFont="1" applyFill="1" applyBorder="1" applyAlignment="1">
      <alignment horizontal="center" vertical="center"/>
    </xf>
    <xf numFmtId="0" fontId="63" fillId="46" borderId="80" xfId="0" applyFont="1" applyFill="1" applyBorder="1" applyAlignment="1">
      <alignment horizontal="center" vertical="center"/>
    </xf>
    <xf numFmtId="0" fontId="63" fillId="40" borderId="17" xfId="0" applyFont="1" applyFill="1" applyBorder="1" applyAlignment="1">
      <alignment horizontal="center" vertical="center"/>
    </xf>
    <xf numFmtId="0" fontId="63" fillId="40" borderId="18" xfId="0" applyFont="1" applyFill="1" applyBorder="1" applyAlignment="1">
      <alignment horizontal="center" vertical="center"/>
    </xf>
    <xf numFmtId="0" fontId="63" fillId="46" borderId="12" xfId="0" applyFont="1" applyFill="1" applyBorder="1" applyAlignment="1">
      <alignment horizontal="center" vertical="center"/>
    </xf>
    <xf numFmtId="0" fontId="63" fillId="46" borderId="13" xfId="0" applyFont="1" applyFill="1" applyBorder="1" applyAlignment="1">
      <alignment horizontal="center" vertical="center"/>
    </xf>
    <xf numFmtId="0" fontId="63" fillId="40" borderId="28" xfId="0" applyFont="1" applyFill="1" applyBorder="1" applyAlignment="1">
      <alignment horizontal="left" vertical="center"/>
    </xf>
    <xf numFmtId="0" fontId="63" fillId="40" borderId="29" xfId="0" applyFont="1" applyFill="1" applyBorder="1" applyAlignment="1">
      <alignment horizontal="left" vertical="center"/>
    </xf>
    <xf numFmtId="0" fontId="63" fillId="46" borderId="28" xfId="0" applyFont="1" applyFill="1" applyBorder="1" applyAlignment="1">
      <alignment horizontal="left" vertical="center"/>
    </xf>
    <xf numFmtId="0" fontId="63" fillId="46" borderId="29" xfId="0" applyFont="1" applyFill="1" applyBorder="1" applyAlignment="1">
      <alignment horizontal="left" vertical="center"/>
    </xf>
    <xf numFmtId="0" fontId="56" fillId="32" borderId="1" xfId="0" applyFont="1" applyFill="1" applyBorder="1" applyAlignment="1">
      <alignment horizontal="center"/>
    </xf>
  </cellXfs>
  <cellStyles count="74">
    <cellStyle name="20% - Énfasis1" xfId="1" builtinId="30" customBuiltin="1"/>
    <cellStyle name="20% - Énfasis1 2" xfId="2" xr:uid="{00000000-0005-0000-0000-000001000000}"/>
    <cellStyle name="20% - Énfasis2" xfId="3" builtinId="34" customBuiltin="1"/>
    <cellStyle name="20% - Énfasis2 2" xfId="4" xr:uid="{00000000-0005-0000-0000-000003000000}"/>
    <cellStyle name="20% - Énfasis3" xfId="5" builtinId="38" customBuiltin="1"/>
    <cellStyle name="20% - Énfasis3 2" xfId="6" xr:uid="{00000000-0005-0000-0000-000005000000}"/>
    <cellStyle name="20% - Énfasis4" xfId="7" builtinId="42" customBuiltin="1"/>
    <cellStyle name="20% - Énfasis4 2" xfId="8" xr:uid="{00000000-0005-0000-0000-000007000000}"/>
    <cellStyle name="20% - Énfasis5" xfId="9" builtinId="46" customBuiltin="1"/>
    <cellStyle name="20% - Énfasis5 2" xfId="10" xr:uid="{00000000-0005-0000-0000-000009000000}"/>
    <cellStyle name="20% - Énfasis5 3" xfId="65" xr:uid="{00000000-0005-0000-0000-00000A000000}"/>
    <cellStyle name="20% - Énfasis6" xfId="11" builtinId="50" customBuiltin="1"/>
    <cellStyle name="20% - Énfasis6 2" xfId="12" xr:uid="{00000000-0005-0000-0000-00000C000000}"/>
    <cellStyle name="40% - Énfasis1" xfId="13" builtinId="31" customBuiltin="1"/>
    <cellStyle name="40% - Énfasis1 2" xfId="14" xr:uid="{00000000-0005-0000-0000-00000E000000}"/>
    <cellStyle name="40% - Énfasis2" xfId="15" builtinId="35" customBuiltin="1"/>
    <cellStyle name="40% - Énfasis2 2" xfId="16" xr:uid="{00000000-0005-0000-0000-000010000000}"/>
    <cellStyle name="40% - Énfasis3" xfId="17" builtinId="39" customBuiltin="1"/>
    <cellStyle name="40% - Énfasis3 2" xfId="18" xr:uid="{00000000-0005-0000-0000-000012000000}"/>
    <cellStyle name="40% - Énfasis4" xfId="19" builtinId="43" customBuiltin="1"/>
    <cellStyle name="40% - Énfasis4 2" xfId="20" xr:uid="{00000000-0005-0000-0000-000014000000}"/>
    <cellStyle name="40% - Énfasis5" xfId="21" builtinId="47" customBuiltin="1"/>
    <cellStyle name="40% - Énfasis5 2" xfId="22" xr:uid="{00000000-0005-0000-0000-000016000000}"/>
    <cellStyle name="40% - Énfasis6" xfId="23" builtinId="51" customBuiltin="1"/>
    <cellStyle name="40% - Énfasis6 2" xfId="24" xr:uid="{00000000-0005-0000-0000-000018000000}"/>
    <cellStyle name="60% - Énfasis1" xfId="25" builtinId="32" customBuiltin="1"/>
    <cellStyle name="60% - Énfasis2" xfId="26" builtinId="36" customBuiltin="1"/>
    <cellStyle name="60% - Énfasis3" xfId="27" builtinId="40" customBuiltin="1"/>
    <cellStyle name="60% - Énfasis4" xfId="28" builtinId="44" customBuiltin="1"/>
    <cellStyle name="60% - Énfasis5" xfId="29" builtinId="48" customBuiltin="1"/>
    <cellStyle name="60% - Énfasis6" xfId="30" builtinId="52" customBuiltin="1"/>
    <cellStyle name="Cálculo" xfId="31" builtinId="22" customBuiltin="1"/>
    <cellStyle name="Celda de comprobación" xfId="32" builtinId="23" customBuiltin="1"/>
    <cellStyle name="Celda vinculada" xfId="33" builtinId="24" customBuiltin="1"/>
    <cellStyle name="Encabezado 4" xfId="34" builtinId="19" customBuiltin="1"/>
    <cellStyle name="Énfasis1" xfId="35" builtinId="29" customBuiltin="1"/>
    <cellStyle name="Énfasis2" xfId="36" builtinId="33" customBuiltin="1"/>
    <cellStyle name="Énfasis3" xfId="37" builtinId="37" customBuiltin="1"/>
    <cellStyle name="Énfasis4" xfId="38" builtinId="41" customBuiltin="1"/>
    <cellStyle name="Énfasis5" xfId="39" builtinId="45" customBuiltin="1"/>
    <cellStyle name="Énfasis6" xfId="40" builtinId="49" customBuiltin="1"/>
    <cellStyle name="Entrada" xfId="41" builtinId="20" customBuiltin="1"/>
    <cellStyle name="Hipervínculo" xfId="73" builtinId="8"/>
    <cellStyle name="Hipervínculo 2" xfId="60" xr:uid="{00000000-0005-0000-0000-00002B000000}"/>
    <cellStyle name="Incorrecto" xfId="42" builtinId="27" customBuiltin="1"/>
    <cellStyle name="Millares" xfId="61" builtinId="3"/>
    <cellStyle name="Millares 2" xfId="69" xr:uid="{00000000-0005-0000-0000-00002E000000}"/>
    <cellStyle name="Millares 2 2" xfId="70" xr:uid="{00000000-0005-0000-0000-00002F000000}"/>
    <cellStyle name="Moneda 3" xfId="68" xr:uid="{00000000-0005-0000-0000-000030000000}"/>
    <cellStyle name="Neutral" xfId="43" builtinId="28" customBuiltin="1"/>
    <cellStyle name="Normal" xfId="0" builtinId="0" customBuiltin="1"/>
    <cellStyle name="Normal 2" xfId="57" xr:uid="{00000000-0005-0000-0000-000033000000}"/>
    <cellStyle name="Normal 2 2" xfId="44" xr:uid="{00000000-0005-0000-0000-000034000000}"/>
    <cellStyle name="Normal 2 2 2" xfId="67" xr:uid="{00000000-0005-0000-0000-000035000000}"/>
    <cellStyle name="Normal 2 3" xfId="58" xr:uid="{00000000-0005-0000-0000-000036000000}"/>
    <cellStyle name="Normal 3" xfId="45" xr:uid="{00000000-0005-0000-0000-000037000000}"/>
    <cellStyle name="Normal 3 2" xfId="46" xr:uid="{00000000-0005-0000-0000-000038000000}"/>
    <cellStyle name="Normal 3 2 2" xfId="64" xr:uid="{00000000-0005-0000-0000-000039000000}"/>
    <cellStyle name="Normal 4" xfId="66" xr:uid="{00000000-0005-0000-0000-00003A000000}"/>
    <cellStyle name="Normal 5" xfId="63" xr:uid="{00000000-0005-0000-0000-00003B000000}"/>
    <cellStyle name="Normal 6" xfId="71" xr:uid="{00000000-0005-0000-0000-00003C000000}"/>
    <cellStyle name="Notas" xfId="47" builtinId="10" customBuiltin="1"/>
    <cellStyle name="Notas 2" xfId="48" xr:uid="{00000000-0005-0000-0000-00003E000000}"/>
    <cellStyle name="Porcentaje" xfId="49" builtinId="5"/>
    <cellStyle name="Porcentaje 2" xfId="59" xr:uid="{00000000-0005-0000-0000-000040000000}"/>
    <cellStyle name="Porcentaje 3" xfId="72" xr:uid="{00000000-0005-0000-0000-000041000000}"/>
    <cellStyle name="Porcentaje 4" xfId="62" xr:uid="{00000000-0005-0000-0000-000042000000}"/>
    <cellStyle name="Salida" xfId="50" builtinId="21" customBuiltin="1"/>
    <cellStyle name="Texto de advertencia" xfId="51" builtinId="11" customBuiltin="1"/>
    <cellStyle name="Texto explicativo" xfId="52" builtinId="53" customBuiltin="1"/>
    <cellStyle name="Título" xfId="53" builtinId="15" customBuiltin="1"/>
    <cellStyle name="Título 2" xfId="54" builtinId="17" customBuiltin="1"/>
    <cellStyle name="Título 3" xfId="55" builtinId="18" customBuiltin="1"/>
    <cellStyle name="Total" xfId="56" builtinId="25" customBuiltin="1"/>
  </cellStyles>
  <dxfs count="776">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FF000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70C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FF0000"/>
        </patternFill>
      </fill>
    </dxf>
    <dxf>
      <fill>
        <patternFill>
          <bgColor rgb="FF00B05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ont>
        <b/>
        <i val="0"/>
        <color rgb="FFFF0000"/>
      </font>
      <fill>
        <patternFill>
          <bgColor theme="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ont>
        <b/>
        <i val="0"/>
        <color rgb="FFFF0000"/>
      </font>
      <fill>
        <patternFill>
          <bgColor theme="0"/>
        </patternFill>
      </fill>
    </dxf>
    <dxf>
      <fill>
        <patternFill>
          <bgColor rgb="FF00B05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ont>
        <b/>
        <i val="0"/>
        <color rgb="FFFF0000"/>
      </font>
      <fill>
        <patternFill>
          <bgColor theme="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FF0000"/>
        </patternFill>
      </fill>
    </dxf>
    <dxf>
      <fill>
        <patternFill>
          <bgColor rgb="FF0070C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70C0"/>
        </patternFill>
      </fill>
    </dxf>
    <dxf>
      <fill>
        <patternFill>
          <bgColor rgb="FFFF000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70C0"/>
        </patternFill>
      </fill>
    </dxf>
    <dxf>
      <fill>
        <patternFill>
          <bgColor rgb="FF00B050"/>
        </patternFill>
      </fill>
    </dxf>
    <dxf>
      <fill>
        <patternFill>
          <bgColor rgb="FFFF000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ont>
        <b/>
        <i val="0"/>
        <color rgb="FFFF0000"/>
      </font>
      <fill>
        <patternFill>
          <bgColor theme="0"/>
        </patternFill>
      </fill>
    </dxf>
    <dxf>
      <fill>
        <patternFill>
          <bgColor rgb="FFFF0000"/>
        </patternFill>
      </fill>
    </dxf>
    <dxf>
      <fill>
        <patternFill>
          <bgColor rgb="FF00B050"/>
        </patternFill>
      </fill>
    </dxf>
    <dxf>
      <fill>
        <patternFill>
          <bgColor rgb="FFFFFF0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ont>
        <b/>
        <i val="0"/>
        <color rgb="FFFF0000"/>
      </font>
      <fill>
        <patternFill>
          <bgColor theme="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ont>
        <b/>
        <i val="0"/>
        <color rgb="FFFF0000"/>
      </font>
      <fill>
        <patternFill>
          <bgColor theme="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00B050"/>
        </patternFill>
      </fill>
    </dxf>
    <dxf>
      <font>
        <b/>
        <i val="0"/>
        <color rgb="FFFF0000"/>
      </font>
      <fill>
        <patternFill>
          <bgColor theme="0"/>
        </patternFill>
      </fill>
    </dxf>
    <dxf>
      <fill>
        <patternFill>
          <bgColor rgb="FFFF0000"/>
        </patternFill>
      </fill>
    </dxf>
    <dxf>
      <fill>
        <patternFill>
          <bgColor rgb="FFFF000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ill>
        <patternFill>
          <bgColor rgb="FF00B050"/>
        </patternFill>
      </fill>
    </dxf>
    <dxf>
      <fill>
        <patternFill>
          <bgColor rgb="FFFFFF00"/>
        </patternFill>
      </fill>
    </dxf>
    <dxf>
      <font>
        <b/>
        <i val="0"/>
        <color rgb="FFFF0000"/>
      </font>
      <fill>
        <patternFill>
          <bgColor theme="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ont>
        <b/>
        <i val="0"/>
        <color rgb="FFFF0000"/>
      </font>
      <fill>
        <patternFill>
          <bgColor theme="0"/>
        </patternFill>
      </fill>
    </dxf>
    <dxf>
      <fill>
        <patternFill>
          <bgColor rgb="FF00B050"/>
        </patternFill>
      </fill>
    </dxf>
    <dxf>
      <fill>
        <patternFill>
          <bgColor rgb="FFFF0000"/>
        </patternFill>
      </fill>
    </dxf>
    <dxf>
      <fill>
        <patternFill>
          <bgColor rgb="FFFFFF0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70C0"/>
        </patternFill>
      </fill>
    </dxf>
    <dxf>
      <fill>
        <patternFill>
          <bgColor rgb="FF00B05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ill>
        <patternFill>
          <bgColor rgb="FFFF0000"/>
        </patternFill>
      </fill>
    </dxf>
    <dxf>
      <font>
        <b/>
        <i val="0"/>
        <color rgb="FFFF0000"/>
      </font>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ont>
        <b/>
        <i val="0"/>
        <color rgb="FFFF0000"/>
      </font>
      <fill>
        <patternFill>
          <bgColor theme="0"/>
        </patternFill>
      </fill>
    </dxf>
    <dxf>
      <fill>
        <patternFill>
          <bgColor rgb="FFFF0000"/>
        </patternFill>
      </fill>
    </dxf>
    <dxf>
      <fill>
        <patternFill>
          <bgColor rgb="FFFFFF00"/>
        </patternFill>
      </fill>
    </dxf>
    <dxf>
      <font>
        <b/>
        <i val="0"/>
        <color rgb="FFFF0000"/>
      </font>
      <fill>
        <patternFill>
          <bgColor theme="0"/>
        </patternFill>
      </fill>
    </dxf>
    <dxf>
      <fill>
        <patternFill>
          <bgColor rgb="FF00B050"/>
        </patternFill>
      </fill>
    </dxf>
    <dxf>
      <fill>
        <patternFill>
          <bgColor rgb="FFFFFF00"/>
        </patternFill>
      </fill>
    </dxf>
    <dxf>
      <fill>
        <patternFill>
          <bgColor rgb="FFFF0000"/>
        </patternFill>
      </fill>
    </dxf>
    <dxf>
      <fill>
        <patternFill>
          <bgColor rgb="FF00B050"/>
        </patternFill>
      </fill>
    </dxf>
    <dxf>
      <font>
        <b/>
        <i val="0"/>
        <color rgb="FFFF0000"/>
      </font>
      <fill>
        <patternFill>
          <bgColor theme="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ill>
        <patternFill>
          <bgColor rgb="FFFFFF00"/>
        </patternFill>
      </fill>
    </dxf>
    <dxf>
      <font>
        <b/>
        <i val="0"/>
        <color rgb="FFFF0000"/>
      </font>
      <fill>
        <patternFill>
          <bgColor theme="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ill>
        <patternFill>
          <bgColor rgb="FF0070C0"/>
        </patternFill>
      </fill>
    </dxf>
    <dxf>
      <fill>
        <patternFill>
          <bgColor rgb="FF00B050"/>
        </patternFill>
      </fill>
    </dxf>
    <dxf>
      <fill>
        <patternFill>
          <bgColor rgb="FF00B050"/>
        </patternFill>
      </fill>
    </dxf>
    <dxf>
      <fill>
        <patternFill>
          <bgColor rgb="FFFFFF00"/>
        </patternFill>
      </fill>
    </dxf>
    <dxf>
      <fill>
        <patternFill>
          <bgColor rgb="FFFF0000"/>
        </patternFill>
      </fill>
    </dxf>
    <dxf>
      <font>
        <b/>
        <i val="0"/>
        <color rgb="FFFF0000"/>
      </font>
      <fill>
        <patternFill>
          <bgColor theme="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70C0"/>
        </patternFill>
      </fill>
    </dxf>
    <dxf>
      <fill>
        <patternFill>
          <bgColor rgb="FFFF000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ont>
        <b/>
        <i val="0"/>
        <color rgb="FFFF0000"/>
      </font>
      <fill>
        <patternFill>
          <bgColor theme="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ont>
        <b/>
        <i val="0"/>
        <color rgb="FFFF0000"/>
      </font>
      <fill>
        <patternFill>
          <bgColor theme="0"/>
        </patternFill>
      </fill>
    </dxf>
    <dxf>
      <fill>
        <patternFill>
          <bgColor rgb="FFFFFF0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70C0"/>
        </patternFill>
      </fill>
    </dxf>
    <dxf>
      <fill>
        <patternFill>
          <bgColor rgb="FF00B050"/>
        </patternFill>
      </fill>
    </dxf>
    <dxf>
      <fill>
        <patternFill>
          <bgColor rgb="FFFF0000"/>
        </patternFill>
      </fill>
    </dxf>
    <dxf>
      <fill>
        <patternFill>
          <bgColor rgb="FF00B050"/>
        </patternFill>
      </fill>
    </dxf>
    <dxf>
      <fill>
        <patternFill>
          <bgColor rgb="FF0070C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FF0000"/>
        </patternFill>
      </fill>
    </dxf>
    <dxf>
      <fill>
        <patternFill>
          <bgColor rgb="FFFFFF00"/>
        </patternFill>
      </fill>
    </dxf>
    <dxf>
      <font>
        <b/>
        <i val="0"/>
        <color rgb="FFFF0000"/>
      </font>
      <fill>
        <patternFill>
          <bgColor theme="0"/>
        </patternFill>
      </fill>
    </dxf>
    <dxf>
      <fill>
        <patternFill>
          <bgColor rgb="FF00B050"/>
        </patternFill>
      </fill>
    </dxf>
    <dxf>
      <font>
        <b/>
        <i val="0"/>
        <color rgb="FFFF0000"/>
      </font>
      <fill>
        <patternFill>
          <bgColor theme="0"/>
        </patternFill>
      </fill>
    </dxf>
    <dxf>
      <fill>
        <patternFill>
          <bgColor rgb="FFFF0000"/>
        </patternFill>
      </fill>
    </dxf>
    <dxf>
      <fill>
        <patternFill>
          <bgColor rgb="FFFFFF00"/>
        </patternFill>
      </fill>
    </dxf>
    <dxf>
      <fill>
        <patternFill>
          <bgColor rgb="FF00B050"/>
        </patternFill>
      </fill>
    </dxf>
    <dxf>
      <fill>
        <patternFill>
          <bgColor rgb="FFFF0000"/>
        </patternFill>
      </fill>
    </dxf>
    <dxf>
      <font>
        <b/>
        <i val="0"/>
        <color rgb="FFFF0000"/>
      </font>
      <fill>
        <patternFill>
          <bgColor theme="0"/>
        </patternFill>
      </fill>
    </dxf>
    <dxf>
      <fill>
        <patternFill>
          <bgColor rgb="FFFFFF00"/>
        </patternFill>
      </fill>
    </dxf>
    <dxf>
      <fill>
        <patternFill>
          <bgColor rgb="FF00B050"/>
        </patternFill>
      </fill>
    </dxf>
    <dxf>
      <fill>
        <patternFill>
          <bgColor rgb="FFFF000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ont>
        <b/>
        <i val="0"/>
        <color rgb="FFFF0000"/>
      </font>
      <fill>
        <patternFill>
          <bgColor theme="0"/>
        </patternFill>
      </fill>
    </dxf>
    <dxf>
      <fill>
        <patternFill>
          <bgColor rgb="FFFFFF00"/>
        </patternFill>
      </fill>
    </dxf>
    <dxf>
      <font>
        <b/>
        <i val="0"/>
        <color rgb="FFFF0000"/>
      </font>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ont>
        <b/>
        <i val="0"/>
        <color rgb="FFFF0000"/>
      </font>
      <fill>
        <patternFill>
          <bgColor theme="0"/>
        </patternFill>
      </fill>
    </dxf>
    <dxf>
      <fill>
        <patternFill>
          <bgColor rgb="FFFF000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val="0"/>
        <color rgb="FFFF0000"/>
      </font>
      <fill>
        <patternFill>
          <bgColor theme="0"/>
        </patternFill>
      </fill>
    </dxf>
    <dxf>
      <fill>
        <patternFill>
          <bgColor rgb="FFFFFF0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FF0000"/>
        </patternFill>
      </fill>
    </dxf>
    <dxf>
      <fill>
        <patternFill>
          <bgColor rgb="FF0070C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FFFF00"/>
        </patternFill>
      </fill>
    </dxf>
    <dxf>
      <fill>
        <patternFill>
          <bgColor rgb="FFFF0000"/>
        </patternFill>
      </fill>
    </dxf>
    <dxf>
      <fill>
        <patternFill>
          <bgColor rgb="FF00B050"/>
        </patternFill>
      </fill>
    </dxf>
    <dxf>
      <font>
        <b/>
        <i val="0"/>
        <color rgb="FFFF0000"/>
      </font>
      <fill>
        <patternFill>
          <bgColor theme="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FF0000"/>
        </patternFill>
      </fill>
    </dxf>
    <dxf>
      <fill>
        <patternFill>
          <bgColor rgb="FF0070C0"/>
        </patternFill>
      </fill>
    </dxf>
    <dxf>
      <fill>
        <patternFill>
          <bgColor rgb="FF00B05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FF0000"/>
        </patternFill>
      </fill>
    </dxf>
    <dxf>
      <fill>
        <patternFill>
          <bgColor rgb="FF00B050"/>
        </patternFill>
      </fill>
    </dxf>
    <dxf>
      <fill>
        <patternFill>
          <bgColor rgb="FF0070C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70C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FF0000"/>
        </patternFill>
      </fill>
    </dxf>
    <dxf>
      <fill>
        <patternFill>
          <bgColor rgb="FF00B050"/>
        </patternFill>
      </fill>
    </dxf>
    <dxf>
      <fill>
        <patternFill>
          <bgColor rgb="FF0070C0"/>
        </patternFill>
      </fill>
    </dxf>
    <dxf>
      <fill>
        <patternFill>
          <bgColor rgb="FFFF0000"/>
        </patternFill>
      </fill>
    </dxf>
    <dxf>
      <font>
        <b/>
        <i val="0"/>
        <color rgb="FFFF0000"/>
      </font>
      <fill>
        <patternFill>
          <bgColor theme="0"/>
        </patternFill>
      </fill>
    </dxf>
    <dxf>
      <fill>
        <patternFill>
          <bgColor rgb="FFFFFF0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FF00"/>
        </patternFill>
      </fill>
    </dxf>
    <dxf>
      <font>
        <b/>
        <i val="0"/>
        <color rgb="FFFF0000"/>
      </font>
      <fill>
        <patternFill>
          <bgColor theme="0"/>
        </patternFill>
      </fill>
    </dxf>
    <dxf>
      <fill>
        <patternFill>
          <bgColor rgb="FFFFFF00"/>
        </patternFill>
      </fill>
    </dxf>
    <dxf>
      <font>
        <b/>
        <i val="0"/>
        <color rgb="FFFF0000"/>
      </font>
      <fill>
        <patternFill>
          <bgColor theme="0"/>
        </patternFill>
      </fill>
    </dxf>
    <dxf>
      <fill>
        <patternFill>
          <bgColor rgb="FF00B050"/>
        </patternFill>
      </fill>
    </dxf>
    <dxf>
      <fill>
        <patternFill>
          <bgColor rgb="FFFF000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ont>
        <b/>
        <i val="0"/>
        <color rgb="FFFF0000"/>
      </font>
      <fill>
        <patternFill>
          <bgColor theme="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ont>
        <b/>
        <i val="0"/>
        <color rgb="FFFF0000"/>
      </font>
      <fill>
        <patternFill>
          <bgColor theme="0"/>
        </patternFill>
      </fill>
    </dxf>
    <dxf>
      <fill>
        <patternFill>
          <bgColor rgb="FFFFFF00"/>
        </patternFill>
      </fill>
    </dxf>
    <dxf>
      <fill>
        <patternFill>
          <bgColor rgb="FFFFFF00"/>
        </patternFill>
      </fill>
    </dxf>
    <dxf>
      <fill>
        <patternFill>
          <bgColor rgb="FF00B050"/>
        </patternFill>
      </fill>
    </dxf>
    <dxf>
      <fill>
        <patternFill>
          <bgColor rgb="FFFF0000"/>
        </patternFill>
      </fill>
    </dxf>
    <dxf>
      <font>
        <b/>
        <i val="0"/>
        <color rgb="FFFF0000"/>
      </font>
      <fill>
        <patternFill>
          <bgColor theme="0"/>
        </patternFill>
      </fill>
    </dxf>
    <dxf>
      <fill>
        <patternFill>
          <bgColor rgb="FFFF0000"/>
        </patternFill>
      </fill>
    </dxf>
    <dxf>
      <fill>
        <patternFill>
          <bgColor rgb="FFFFFF00"/>
        </patternFill>
      </fill>
    </dxf>
    <dxf>
      <font>
        <b/>
        <i val="0"/>
        <color rgb="FFFF0000"/>
      </font>
      <fill>
        <patternFill>
          <bgColor theme="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ont>
        <b/>
        <i val="0"/>
        <color rgb="FFFF0000"/>
      </font>
      <fill>
        <patternFill>
          <bgColor theme="0"/>
        </patternFill>
      </fill>
    </dxf>
    <dxf>
      <fill>
        <patternFill>
          <bgColor rgb="FFFF0000"/>
        </patternFill>
      </fill>
    </dxf>
    <dxf>
      <font>
        <b/>
        <i val="0"/>
        <color rgb="FFFF0000"/>
      </font>
      <fill>
        <patternFill>
          <bgColor theme="0"/>
        </patternFill>
      </fill>
    </dxf>
    <dxf>
      <fill>
        <patternFill>
          <bgColor rgb="FFFFFF00"/>
        </patternFill>
      </fill>
    </dxf>
    <dxf>
      <fill>
        <patternFill>
          <bgColor rgb="FF00B05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color rgb="FFFF0000"/>
      </font>
      <fill>
        <patternFill>
          <bgColor theme="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70C0"/>
        </patternFill>
      </fill>
    </dxf>
    <dxf>
      <fill>
        <patternFill>
          <bgColor rgb="FF00B050"/>
        </patternFill>
      </fill>
    </dxf>
    <dxf>
      <fill>
        <patternFill>
          <bgColor rgb="FFFF0000"/>
        </patternFill>
      </fill>
    </dxf>
    <dxf>
      <fill>
        <patternFill>
          <bgColor rgb="FFFF0000"/>
        </patternFill>
      </fill>
    </dxf>
    <dxf>
      <fill>
        <patternFill>
          <bgColor rgb="FFFF0000"/>
        </patternFill>
      </fill>
    </dxf>
    <dxf>
      <font>
        <b/>
        <i val="0"/>
        <color rgb="FFFF0000"/>
      </font>
      <fill>
        <patternFill>
          <bgColor theme="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ont>
        <b/>
        <i val="0"/>
        <color rgb="FFFF0000"/>
      </font>
      <fill>
        <patternFill>
          <bgColor theme="0"/>
        </patternFill>
      </fill>
    </dxf>
    <dxf>
      <fill>
        <patternFill>
          <bgColor rgb="FF0070C0"/>
        </patternFill>
      </fill>
    </dxf>
    <dxf>
      <fill>
        <patternFill>
          <bgColor rgb="FF00B050"/>
        </patternFill>
      </fill>
    </dxf>
    <dxf>
      <fill>
        <patternFill>
          <bgColor rgb="FF00B050"/>
        </patternFill>
      </fill>
    </dxf>
    <dxf>
      <fill>
        <patternFill>
          <bgColor rgb="FF0070C0"/>
        </patternFill>
      </fill>
    </dxf>
    <dxf>
      <fill>
        <patternFill>
          <bgColor rgb="FF00B050"/>
        </patternFill>
      </fill>
    </dxf>
    <dxf>
      <fill>
        <patternFill>
          <bgColor rgb="FFFF0000"/>
        </patternFill>
      </fill>
    </dxf>
    <dxf>
      <font>
        <color auto="1"/>
      </font>
      <fill>
        <patternFill>
          <bgColor rgb="FF00B050"/>
        </patternFill>
      </fill>
    </dxf>
    <dxf>
      <font>
        <color theme="1"/>
      </font>
      <fill>
        <patternFill>
          <bgColor rgb="FFFF0000"/>
        </patternFill>
      </fill>
    </dxf>
    <dxf>
      <fill>
        <patternFill>
          <bgColor rgb="FF00B050"/>
        </patternFill>
      </fill>
    </dxf>
    <dxf>
      <fill>
        <patternFill>
          <bgColor rgb="FF0070C0"/>
        </patternFill>
      </fill>
    </dxf>
    <dxf>
      <font>
        <b/>
        <i val="0"/>
        <color theme="1"/>
      </font>
      <fill>
        <patternFill>
          <bgColor rgb="FF009900"/>
        </patternFill>
      </fill>
    </dxf>
    <dxf>
      <font>
        <b/>
        <i val="0"/>
        <color theme="1"/>
      </font>
      <fill>
        <patternFill>
          <bgColor rgb="FFFF0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FFFF"/>
        </patternFill>
      </fill>
    </dxf>
    <dxf>
      <fill>
        <patternFill>
          <bgColor rgb="FF00FFFF"/>
        </patternFill>
      </fill>
    </dxf>
    <dxf>
      <fill>
        <patternFill>
          <bgColor rgb="FF00FFFF"/>
        </patternFill>
      </fill>
    </dxf>
    <dxf>
      <fill>
        <patternFill>
          <bgColor rgb="FF00B050"/>
        </patternFill>
      </fill>
    </dxf>
    <dxf>
      <fill>
        <patternFill>
          <bgColor rgb="FF0070C0"/>
        </patternFill>
      </fill>
    </dxf>
    <dxf>
      <font>
        <b val="0"/>
        <i val="0"/>
        <strike val="0"/>
      </font>
      <numFmt numFmtId="0" formatCode="General"/>
      <fill>
        <patternFill>
          <bgColor rgb="FF00B050"/>
        </patternFill>
      </fill>
    </dxf>
    <dxf>
      <font>
        <b val="0"/>
        <i val="0"/>
        <strike val="0"/>
      </font>
      <numFmt numFmtId="0" formatCode="General"/>
      <fill>
        <patternFill>
          <bgColor rgb="FF00B050"/>
        </patternFill>
      </fill>
    </dxf>
    <dxf>
      <font>
        <b val="0"/>
        <i val="0"/>
        <strike val="0"/>
      </font>
      <numFmt numFmtId="0" formatCode="General"/>
      <fill>
        <patternFill>
          <bgColor rgb="FF00B050"/>
        </patternFill>
      </fill>
    </dxf>
    <dxf>
      <font>
        <b val="0"/>
        <i val="0"/>
        <strike val="0"/>
      </font>
      <numFmt numFmtId="0" formatCode="General"/>
      <fill>
        <patternFill>
          <bgColor rgb="FF00B050"/>
        </patternFill>
      </fill>
    </dxf>
    <dxf>
      <fill>
        <patternFill>
          <bgColor rgb="FF00B050"/>
        </patternFill>
      </fill>
    </dxf>
    <dxf>
      <fill>
        <patternFill>
          <bgColor rgb="FF00B050"/>
        </patternFill>
      </fill>
    </dxf>
    <dxf>
      <font>
        <b val="0"/>
        <i val="0"/>
        <strike val="0"/>
      </font>
      <numFmt numFmtId="0" formatCode="General"/>
      <fill>
        <patternFill>
          <bgColor rgb="FF00B050"/>
        </patternFill>
      </fill>
    </dxf>
    <dxf>
      <fill>
        <patternFill>
          <bgColor rgb="FF00B050"/>
        </patternFill>
      </fill>
    </dxf>
    <dxf>
      <font>
        <b val="0"/>
        <i val="0"/>
        <strike val="0"/>
      </font>
      <numFmt numFmtId="0" formatCode="General"/>
      <fill>
        <patternFill>
          <bgColor rgb="FF00B050"/>
        </patternFill>
      </fill>
    </dxf>
    <dxf>
      <fill>
        <patternFill>
          <bgColor rgb="FF00B050"/>
        </patternFill>
      </fill>
    </dxf>
    <dxf>
      <fill>
        <patternFill>
          <bgColor rgb="FF0070C0"/>
        </patternFill>
      </fill>
    </dxf>
    <dxf>
      <font>
        <b val="0"/>
        <i val="0"/>
        <strike val="0"/>
      </font>
      <numFmt numFmtId="0" formatCode="General"/>
      <fill>
        <patternFill>
          <bgColor rgb="FF00B050"/>
        </patternFill>
      </fill>
    </dxf>
    <dxf>
      <fill>
        <gradientFill type="path" left="0.5" right="0.5" top="0.5" bottom="0.5">
          <stop position="0">
            <color theme="0"/>
          </stop>
          <stop position="1">
            <color rgb="FFFF0000"/>
          </stop>
        </gradientFill>
      </fill>
    </dxf>
    <dxf>
      <fill>
        <gradientFill type="path" left="0.5" right="0.5" top="0.5" bottom="0.5">
          <stop position="0">
            <color theme="0"/>
          </stop>
          <stop position="1">
            <color rgb="FFFFFF00"/>
          </stop>
        </gradientFill>
      </fill>
    </dxf>
    <dxf>
      <fill>
        <gradientFill type="path" left="0.5" right="0.5" top="0.5" bottom="0.5">
          <stop position="0">
            <color theme="0"/>
          </stop>
          <stop position="1">
            <color rgb="FF92D050"/>
          </stop>
        </gradient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9999FF"/>
      <color rgb="FF5EF61A"/>
      <color rgb="FFFFCCFF"/>
      <color rgb="FFFF9999"/>
      <color rgb="FF009900"/>
      <color rgb="FF23ADA6"/>
      <color rgb="FF873A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INDICADORES!$F$8:$Q$9</c:f>
              <c:strCache>
                <c:ptCount val="10"/>
                <c:pt idx="0">
                  <c:v>100%</c:v>
                </c:pt>
                <c:pt idx="3">
                  <c:v>100%</c:v>
                </c:pt>
                <c:pt idx="6">
                  <c:v>N,A</c:v>
                </c:pt>
                <c:pt idx="9">
                  <c:v>N,A</c:v>
                </c:pt>
              </c:strCache>
            </c:strRef>
          </c:cat>
          <c:val>
            <c:numRef>
              <c:f>INDICADORES!$F$8:$Q$8</c:f>
              <c:numCache>
                <c:formatCode>0%</c:formatCode>
                <c:ptCount val="12"/>
                <c:pt idx="0">
                  <c:v>1</c:v>
                </c:pt>
                <c:pt idx="3">
                  <c:v>1</c:v>
                </c:pt>
                <c:pt idx="6">
                  <c:v>0</c:v>
                </c:pt>
                <c:pt idx="9">
                  <c:v>0</c:v>
                </c:pt>
              </c:numCache>
            </c:numRef>
          </c:val>
          <c:extLst>
            <c:ext xmlns:c16="http://schemas.microsoft.com/office/drawing/2014/chart" uri="{C3380CC4-5D6E-409C-BE32-E72D297353CC}">
              <c16:uniqueId val="{00000000-D129-4E86-92E2-B3FA5CAAACFB}"/>
            </c:ext>
          </c:extLst>
        </c:ser>
        <c:dLbls>
          <c:showLegendKey val="0"/>
          <c:showVal val="1"/>
          <c:showCatName val="0"/>
          <c:showSerName val="0"/>
          <c:showPercent val="0"/>
          <c:showBubbleSize val="0"/>
        </c:dLbls>
        <c:gapWidth val="150"/>
        <c:shape val="box"/>
        <c:axId val="559298192"/>
        <c:axId val="559310160"/>
        <c:axId val="0"/>
        <c:extLst>
          <c:ext xmlns:c15="http://schemas.microsoft.com/office/drawing/2012/chart" uri="{02D57815-91ED-43cb-92C2-25804820EDAC}">
            <c15:filteredBarSeries>
              <c15:ser>
                <c:idx val="1"/>
                <c:order val="1"/>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INDICADORES!$F$8:$Q$9</c15:sqref>
                        </c15:formulaRef>
                      </c:ext>
                    </c:extLst>
                    <c:strCache>
                      <c:ptCount val="10"/>
                      <c:pt idx="0">
                        <c:v>100%</c:v>
                      </c:pt>
                      <c:pt idx="3">
                        <c:v>100%</c:v>
                      </c:pt>
                      <c:pt idx="6">
                        <c:v>N,A</c:v>
                      </c:pt>
                      <c:pt idx="9">
                        <c:v>N,A</c:v>
                      </c:pt>
                    </c:strCache>
                  </c:strRef>
                </c:cat>
                <c:val>
                  <c:numRef>
                    <c:extLst>
                      <c:ext uri="{02D57815-91ED-43cb-92C2-25804820EDAC}">
                        <c15:formulaRef>
                          <c15:sqref>INDICADORES!$F$9:$Q$9</c15:sqref>
                        </c15:formulaRef>
                      </c:ext>
                    </c:extLst>
                    <c:numCache>
                      <c:formatCode>0%</c:formatCode>
                      <c:ptCount val="12"/>
                    </c:numCache>
                  </c:numRef>
                </c:val>
                <c:extLst>
                  <c:ext xmlns:c16="http://schemas.microsoft.com/office/drawing/2014/chart" uri="{C3380CC4-5D6E-409C-BE32-E72D297353CC}">
                    <c16:uniqueId val="{00000001-D129-4E86-92E2-B3FA5CAAACFB}"/>
                  </c:ext>
                </c:extLst>
              </c15:ser>
            </c15:filteredBarSeries>
          </c:ext>
        </c:extLst>
      </c:bar3DChart>
      <c:catAx>
        <c:axId val="559298192"/>
        <c:scaling>
          <c:orientation val="minMax"/>
        </c:scaling>
        <c:delete val="1"/>
        <c:axPos val="b"/>
        <c:numFmt formatCode="General" sourceLinked="1"/>
        <c:majorTickMark val="out"/>
        <c:minorTickMark val="none"/>
        <c:tickLblPos val="nextTo"/>
        <c:crossAx val="559310160"/>
        <c:crosses val="autoZero"/>
        <c:auto val="1"/>
        <c:lblAlgn val="ctr"/>
        <c:lblOffset val="100"/>
        <c:noMultiLvlLbl val="0"/>
      </c:catAx>
      <c:valAx>
        <c:axId val="559310160"/>
        <c:scaling>
          <c:orientation val="minMax"/>
          <c:max val="1"/>
          <c:min val="0"/>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559298192"/>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INDICADORES!$F$10:$Q$12</c:f>
              <c:strCache>
                <c:ptCount val="10"/>
                <c:pt idx="0">
                  <c:v>100%</c:v>
                </c:pt>
                <c:pt idx="3">
                  <c:v>100%</c:v>
                </c:pt>
                <c:pt idx="6">
                  <c:v>100%</c:v>
                </c:pt>
                <c:pt idx="9">
                  <c:v>N,A</c:v>
                </c:pt>
              </c:strCache>
            </c:strRef>
          </c:cat>
          <c:val>
            <c:numRef>
              <c:f>INDICADORES!$F$10:$Q$10</c:f>
              <c:numCache>
                <c:formatCode>0%</c:formatCode>
                <c:ptCount val="12"/>
                <c:pt idx="0">
                  <c:v>1</c:v>
                </c:pt>
                <c:pt idx="3">
                  <c:v>1</c:v>
                </c:pt>
                <c:pt idx="6">
                  <c:v>1</c:v>
                </c:pt>
                <c:pt idx="9">
                  <c:v>0</c:v>
                </c:pt>
              </c:numCache>
            </c:numRef>
          </c:val>
          <c:extLst>
            <c:ext xmlns:c16="http://schemas.microsoft.com/office/drawing/2014/chart" uri="{C3380CC4-5D6E-409C-BE32-E72D297353CC}">
              <c16:uniqueId val="{00000000-471F-498A-B744-92B84C777D1F}"/>
            </c:ext>
          </c:extLst>
        </c:ser>
        <c:dLbls>
          <c:showLegendKey val="0"/>
          <c:showVal val="1"/>
          <c:showCatName val="0"/>
          <c:showSerName val="0"/>
          <c:showPercent val="0"/>
          <c:showBubbleSize val="0"/>
        </c:dLbls>
        <c:gapWidth val="150"/>
        <c:shape val="box"/>
        <c:axId val="559292752"/>
        <c:axId val="559284048"/>
        <c:axId val="0"/>
        <c:extLst>
          <c:ext xmlns:c15="http://schemas.microsoft.com/office/drawing/2012/chart" uri="{02D57815-91ED-43cb-92C2-25804820EDAC}">
            <c15:filteredBarSeries>
              <c15:ser>
                <c:idx val="1"/>
                <c:order val="1"/>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INDICADORES!$F$10:$Q$12</c15:sqref>
                        </c15:formulaRef>
                      </c:ext>
                    </c:extLst>
                    <c:strCache>
                      <c:ptCount val="10"/>
                      <c:pt idx="0">
                        <c:v>100%</c:v>
                      </c:pt>
                      <c:pt idx="3">
                        <c:v>100%</c:v>
                      </c:pt>
                      <c:pt idx="6">
                        <c:v>100%</c:v>
                      </c:pt>
                      <c:pt idx="9">
                        <c:v>N,A</c:v>
                      </c:pt>
                    </c:strCache>
                  </c:strRef>
                </c:cat>
                <c:val>
                  <c:numRef>
                    <c:extLst>
                      <c:ext uri="{02D57815-91ED-43cb-92C2-25804820EDAC}">
                        <c15:formulaRef>
                          <c15:sqref>INDICADORES!$F$11:$Q$11</c15:sqref>
                        </c15:formulaRef>
                      </c:ext>
                    </c:extLst>
                    <c:numCache>
                      <c:formatCode>0%</c:formatCode>
                      <c:ptCount val="12"/>
                    </c:numCache>
                  </c:numRef>
                </c:val>
                <c:extLst>
                  <c:ext xmlns:c16="http://schemas.microsoft.com/office/drawing/2014/chart" uri="{C3380CC4-5D6E-409C-BE32-E72D297353CC}">
                    <c16:uniqueId val="{00000001-471F-498A-B744-92B84C777D1F}"/>
                  </c:ext>
                </c:extLst>
              </c15:ser>
            </c15:filteredBarSeries>
            <c15:filteredBarSeries>
              <c15:ser>
                <c:idx val="2"/>
                <c:order val="2"/>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INDICADORES!$F$10:$Q$12</c15:sqref>
                        </c15:formulaRef>
                      </c:ext>
                    </c:extLst>
                    <c:strCache>
                      <c:ptCount val="10"/>
                      <c:pt idx="0">
                        <c:v>100%</c:v>
                      </c:pt>
                      <c:pt idx="3">
                        <c:v>100%</c:v>
                      </c:pt>
                      <c:pt idx="6">
                        <c:v>100%</c:v>
                      </c:pt>
                      <c:pt idx="9">
                        <c:v>N,A</c:v>
                      </c:pt>
                    </c:strCache>
                  </c:strRef>
                </c:cat>
                <c:val>
                  <c:numRef>
                    <c:extLst xmlns:c15="http://schemas.microsoft.com/office/drawing/2012/chart">
                      <c:ext xmlns:c15="http://schemas.microsoft.com/office/drawing/2012/chart" uri="{02D57815-91ED-43cb-92C2-25804820EDAC}">
                        <c15:formulaRef>
                          <c15:sqref>INDICADORES!$F$12:$Q$12</c15:sqref>
                        </c15:formulaRef>
                      </c:ext>
                    </c:extLst>
                    <c:numCache>
                      <c:formatCode>0%</c:formatCode>
                      <c:ptCount val="12"/>
                    </c:numCache>
                  </c:numRef>
                </c:val>
                <c:extLst xmlns:c15="http://schemas.microsoft.com/office/drawing/2012/chart">
                  <c:ext xmlns:c16="http://schemas.microsoft.com/office/drawing/2014/chart" uri="{C3380CC4-5D6E-409C-BE32-E72D297353CC}">
                    <c16:uniqueId val="{00000002-471F-498A-B744-92B84C777D1F}"/>
                  </c:ext>
                </c:extLst>
              </c15:ser>
            </c15:filteredBarSeries>
          </c:ext>
        </c:extLst>
      </c:bar3DChart>
      <c:catAx>
        <c:axId val="559292752"/>
        <c:scaling>
          <c:orientation val="minMax"/>
        </c:scaling>
        <c:delete val="1"/>
        <c:axPos val="b"/>
        <c:numFmt formatCode="General" sourceLinked="1"/>
        <c:majorTickMark val="none"/>
        <c:minorTickMark val="none"/>
        <c:tickLblPos val="nextTo"/>
        <c:crossAx val="559284048"/>
        <c:crosses val="autoZero"/>
        <c:auto val="1"/>
        <c:lblAlgn val="ctr"/>
        <c:lblOffset val="100"/>
        <c:noMultiLvlLbl val="0"/>
      </c:catAx>
      <c:valAx>
        <c:axId val="55928404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59292752"/>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INDICADORES!$F$15:$Q$16</c:f>
              <c:strCache>
                <c:ptCount val="10"/>
                <c:pt idx="0">
                  <c:v>100%</c:v>
                </c:pt>
                <c:pt idx="3">
                  <c:v>100%</c:v>
                </c:pt>
                <c:pt idx="6">
                  <c:v>Sin Actividad programada</c:v>
                </c:pt>
                <c:pt idx="9">
                  <c:v>Sin Actividad programada</c:v>
                </c:pt>
              </c:strCache>
            </c:strRef>
          </c:cat>
          <c:val>
            <c:numRef>
              <c:f>INDICADORES!$F$15:$Q$15</c:f>
              <c:numCache>
                <c:formatCode>0%</c:formatCode>
                <c:ptCount val="12"/>
                <c:pt idx="0">
                  <c:v>1</c:v>
                </c:pt>
                <c:pt idx="3">
                  <c:v>1</c:v>
                </c:pt>
                <c:pt idx="6">
                  <c:v>0</c:v>
                </c:pt>
                <c:pt idx="9">
                  <c:v>0</c:v>
                </c:pt>
              </c:numCache>
            </c:numRef>
          </c:val>
          <c:extLst>
            <c:ext xmlns:c16="http://schemas.microsoft.com/office/drawing/2014/chart" uri="{C3380CC4-5D6E-409C-BE32-E72D297353CC}">
              <c16:uniqueId val="{00000000-62C7-49EB-997A-52136FF7DDC5}"/>
            </c:ext>
          </c:extLst>
        </c:ser>
        <c:dLbls>
          <c:showLegendKey val="0"/>
          <c:showVal val="1"/>
          <c:showCatName val="0"/>
          <c:showSerName val="0"/>
          <c:showPercent val="0"/>
          <c:showBubbleSize val="0"/>
        </c:dLbls>
        <c:gapWidth val="150"/>
        <c:shape val="box"/>
        <c:axId val="559307440"/>
        <c:axId val="559288944"/>
        <c:axId val="0"/>
        <c:extLst>
          <c:ext xmlns:c15="http://schemas.microsoft.com/office/drawing/2012/chart" uri="{02D57815-91ED-43cb-92C2-25804820EDAC}">
            <c15:filteredBarSeries>
              <c15:ser>
                <c:idx val="1"/>
                <c:order val="1"/>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INDICADORES!$F$15:$Q$16</c15:sqref>
                        </c15:formulaRef>
                      </c:ext>
                    </c:extLst>
                    <c:strCache>
                      <c:ptCount val="10"/>
                      <c:pt idx="0">
                        <c:v>100%</c:v>
                      </c:pt>
                      <c:pt idx="3">
                        <c:v>100%</c:v>
                      </c:pt>
                      <c:pt idx="6">
                        <c:v>Sin Actividad programada</c:v>
                      </c:pt>
                      <c:pt idx="9">
                        <c:v>Sin Actividad programada</c:v>
                      </c:pt>
                    </c:strCache>
                  </c:strRef>
                </c:cat>
                <c:val>
                  <c:numRef>
                    <c:extLst>
                      <c:ext uri="{02D57815-91ED-43cb-92C2-25804820EDAC}">
                        <c15:formulaRef>
                          <c15:sqref>INDICADORES!$F$16:$Q$16</c15:sqref>
                        </c15:formulaRef>
                      </c:ext>
                    </c:extLst>
                    <c:numCache>
                      <c:formatCode>0%</c:formatCode>
                      <c:ptCount val="12"/>
                    </c:numCache>
                  </c:numRef>
                </c:val>
                <c:extLst>
                  <c:ext xmlns:c16="http://schemas.microsoft.com/office/drawing/2014/chart" uri="{C3380CC4-5D6E-409C-BE32-E72D297353CC}">
                    <c16:uniqueId val="{00000001-62C7-49EB-997A-52136FF7DDC5}"/>
                  </c:ext>
                </c:extLst>
              </c15:ser>
            </c15:filteredBarSeries>
          </c:ext>
        </c:extLst>
      </c:bar3DChart>
      <c:catAx>
        <c:axId val="559307440"/>
        <c:scaling>
          <c:orientation val="minMax"/>
        </c:scaling>
        <c:delete val="1"/>
        <c:axPos val="b"/>
        <c:numFmt formatCode="General" sourceLinked="1"/>
        <c:majorTickMark val="out"/>
        <c:minorTickMark val="none"/>
        <c:tickLblPos val="nextTo"/>
        <c:crossAx val="559288944"/>
        <c:crosses val="autoZero"/>
        <c:auto val="1"/>
        <c:lblAlgn val="ctr"/>
        <c:lblOffset val="100"/>
        <c:noMultiLvlLbl val="0"/>
      </c:catAx>
      <c:valAx>
        <c:axId val="55928894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559307440"/>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INDICADORES!$F$19:$Q$20</c:f>
              <c:strCache>
                <c:ptCount val="10"/>
                <c:pt idx="0">
                  <c:v>100%</c:v>
                </c:pt>
                <c:pt idx="3">
                  <c:v>100%</c:v>
                </c:pt>
                <c:pt idx="6">
                  <c:v>100%</c:v>
                </c:pt>
                <c:pt idx="9">
                  <c:v>Sin Actividad programada</c:v>
                </c:pt>
              </c:strCache>
            </c:strRef>
          </c:cat>
          <c:val>
            <c:numRef>
              <c:f>INDICADORES!$F$19:$Q$19</c:f>
              <c:numCache>
                <c:formatCode>0%</c:formatCode>
                <c:ptCount val="12"/>
                <c:pt idx="0">
                  <c:v>1</c:v>
                </c:pt>
                <c:pt idx="3">
                  <c:v>1</c:v>
                </c:pt>
                <c:pt idx="6">
                  <c:v>1</c:v>
                </c:pt>
                <c:pt idx="9">
                  <c:v>0</c:v>
                </c:pt>
              </c:numCache>
            </c:numRef>
          </c:val>
          <c:extLst>
            <c:ext xmlns:c16="http://schemas.microsoft.com/office/drawing/2014/chart" uri="{C3380CC4-5D6E-409C-BE32-E72D297353CC}">
              <c16:uniqueId val="{00000000-8960-4E30-9DAE-E00F54C2E9E4}"/>
            </c:ext>
          </c:extLst>
        </c:ser>
        <c:dLbls>
          <c:showLegendKey val="0"/>
          <c:showVal val="1"/>
          <c:showCatName val="0"/>
          <c:showSerName val="0"/>
          <c:showPercent val="0"/>
          <c:showBubbleSize val="0"/>
        </c:dLbls>
        <c:gapWidth val="150"/>
        <c:shape val="box"/>
        <c:axId val="559306896"/>
        <c:axId val="559300368"/>
        <c:axId val="0"/>
        <c:extLst>
          <c:ext xmlns:c15="http://schemas.microsoft.com/office/drawing/2012/chart" uri="{02D57815-91ED-43cb-92C2-25804820EDAC}">
            <c15:filteredBarSeries>
              <c15:ser>
                <c:idx val="1"/>
                <c:order val="1"/>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INDICADORES!$F$19:$Q$20</c15:sqref>
                        </c15:formulaRef>
                      </c:ext>
                    </c:extLst>
                    <c:strCache>
                      <c:ptCount val="10"/>
                      <c:pt idx="0">
                        <c:v>100%</c:v>
                      </c:pt>
                      <c:pt idx="3">
                        <c:v>100%</c:v>
                      </c:pt>
                      <c:pt idx="6">
                        <c:v>100%</c:v>
                      </c:pt>
                      <c:pt idx="9">
                        <c:v>Sin Actividad programada</c:v>
                      </c:pt>
                    </c:strCache>
                  </c:strRef>
                </c:cat>
                <c:val>
                  <c:numRef>
                    <c:extLst>
                      <c:ext uri="{02D57815-91ED-43cb-92C2-25804820EDAC}">
                        <c15:formulaRef>
                          <c15:sqref>INDICADORES!$F$20:$Q$20</c15:sqref>
                        </c15:formulaRef>
                      </c:ext>
                    </c:extLst>
                    <c:numCache>
                      <c:formatCode>0%</c:formatCode>
                      <c:ptCount val="12"/>
                    </c:numCache>
                  </c:numRef>
                </c:val>
                <c:extLst>
                  <c:ext xmlns:c16="http://schemas.microsoft.com/office/drawing/2014/chart" uri="{C3380CC4-5D6E-409C-BE32-E72D297353CC}">
                    <c16:uniqueId val="{00000001-8960-4E30-9DAE-E00F54C2E9E4}"/>
                  </c:ext>
                </c:extLst>
              </c15:ser>
            </c15:filteredBarSeries>
          </c:ext>
        </c:extLst>
      </c:bar3DChart>
      <c:catAx>
        <c:axId val="559306896"/>
        <c:scaling>
          <c:orientation val="minMax"/>
        </c:scaling>
        <c:delete val="1"/>
        <c:axPos val="b"/>
        <c:numFmt formatCode="General" sourceLinked="1"/>
        <c:majorTickMark val="none"/>
        <c:minorTickMark val="none"/>
        <c:tickLblPos val="nextTo"/>
        <c:crossAx val="559300368"/>
        <c:crosses val="autoZero"/>
        <c:auto val="1"/>
        <c:lblAlgn val="ctr"/>
        <c:lblOffset val="100"/>
        <c:noMultiLvlLbl val="0"/>
      </c:catAx>
      <c:valAx>
        <c:axId val="55930036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59306896"/>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INDICADORES!$F$17:$Q$18</c:f>
              <c:strCache>
                <c:ptCount val="10"/>
                <c:pt idx="0">
                  <c:v>100%</c:v>
                </c:pt>
                <c:pt idx="3">
                  <c:v>100%</c:v>
                </c:pt>
                <c:pt idx="6">
                  <c:v>50%</c:v>
                </c:pt>
                <c:pt idx="9">
                  <c:v>Sin Actividad programada</c:v>
                </c:pt>
              </c:strCache>
            </c:strRef>
          </c:cat>
          <c:val>
            <c:numRef>
              <c:f>INDICADORES!$F$17:$Q$17</c:f>
              <c:numCache>
                <c:formatCode>0%</c:formatCode>
                <c:ptCount val="12"/>
                <c:pt idx="0">
                  <c:v>1</c:v>
                </c:pt>
                <c:pt idx="3">
                  <c:v>1</c:v>
                </c:pt>
                <c:pt idx="6">
                  <c:v>0.5</c:v>
                </c:pt>
                <c:pt idx="9">
                  <c:v>0</c:v>
                </c:pt>
              </c:numCache>
            </c:numRef>
          </c:val>
          <c:extLst>
            <c:ext xmlns:c16="http://schemas.microsoft.com/office/drawing/2014/chart" uri="{C3380CC4-5D6E-409C-BE32-E72D297353CC}">
              <c16:uniqueId val="{00000000-E77F-4DAD-94E1-8E790C49CABE}"/>
            </c:ext>
          </c:extLst>
        </c:ser>
        <c:dLbls>
          <c:showLegendKey val="0"/>
          <c:showVal val="1"/>
          <c:showCatName val="0"/>
          <c:showSerName val="0"/>
          <c:showPercent val="0"/>
          <c:showBubbleSize val="0"/>
        </c:dLbls>
        <c:gapWidth val="150"/>
        <c:shape val="box"/>
        <c:axId val="559290576"/>
        <c:axId val="559310704"/>
        <c:axId val="0"/>
        <c:extLst>
          <c:ext xmlns:c15="http://schemas.microsoft.com/office/drawing/2012/chart" uri="{02D57815-91ED-43cb-92C2-25804820EDAC}">
            <c15:filteredBarSeries>
              <c15:ser>
                <c:idx val="1"/>
                <c:order val="1"/>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INDICADORES!$F$17:$Q$18</c15:sqref>
                        </c15:formulaRef>
                      </c:ext>
                    </c:extLst>
                    <c:strCache>
                      <c:ptCount val="10"/>
                      <c:pt idx="0">
                        <c:v>100%</c:v>
                      </c:pt>
                      <c:pt idx="3">
                        <c:v>100%</c:v>
                      </c:pt>
                      <c:pt idx="6">
                        <c:v>50%</c:v>
                      </c:pt>
                      <c:pt idx="9">
                        <c:v>Sin Actividad programada</c:v>
                      </c:pt>
                    </c:strCache>
                  </c:strRef>
                </c:cat>
                <c:val>
                  <c:numRef>
                    <c:extLst>
                      <c:ext uri="{02D57815-91ED-43cb-92C2-25804820EDAC}">
                        <c15:formulaRef>
                          <c15:sqref>INDICADORES!$F$18:$Q$18</c15:sqref>
                        </c15:formulaRef>
                      </c:ext>
                    </c:extLst>
                    <c:numCache>
                      <c:formatCode>0%</c:formatCode>
                      <c:ptCount val="12"/>
                    </c:numCache>
                  </c:numRef>
                </c:val>
                <c:extLst>
                  <c:ext xmlns:c16="http://schemas.microsoft.com/office/drawing/2014/chart" uri="{C3380CC4-5D6E-409C-BE32-E72D297353CC}">
                    <c16:uniqueId val="{00000001-E77F-4DAD-94E1-8E790C49CABE}"/>
                  </c:ext>
                </c:extLst>
              </c15:ser>
            </c15:filteredBarSeries>
          </c:ext>
        </c:extLst>
      </c:bar3DChart>
      <c:catAx>
        <c:axId val="559290576"/>
        <c:scaling>
          <c:orientation val="minMax"/>
        </c:scaling>
        <c:delete val="1"/>
        <c:axPos val="b"/>
        <c:numFmt formatCode="General" sourceLinked="1"/>
        <c:majorTickMark val="none"/>
        <c:minorTickMark val="none"/>
        <c:tickLblPos val="nextTo"/>
        <c:crossAx val="559310704"/>
        <c:crosses val="autoZero"/>
        <c:auto val="1"/>
        <c:lblAlgn val="ctr"/>
        <c:lblOffset val="100"/>
        <c:noMultiLvlLbl val="0"/>
      </c:catAx>
      <c:valAx>
        <c:axId val="55931070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59290576"/>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INDICADORES!$F$13:$Q$14</c:f>
              <c:strCache>
                <c:ptCount val="10"/>
                <c:pt idx="0">
                  <c:v>100%</c:v>
                </c:pt>
                <c:pt idx="3">
                  <c:v>100%</c:v>
                </c:pt>
                <c:pt idx="6">
                  <c:v>8%</c:v>
                </c:pt>
                <c:pt idx="9">
                  <c:v>N,A</c:v>
                </c:pt>
              </c:strCache>
            </c:strRef>
          </c:cat>
          <c:val>
            <c:numRef>
              <c:f>INDICADORES!$F$13:$Q$13</c:f>
              <c:numCache>
                <c:formatCode>0%</c:formatCode>
                <c:ptCount val="12"/>
                <c:pt idx="0">
                  <c:v>1</c:v>
                </c:pt>
                <c:pt idx="3">
                  <c:v>1</c:v>
                </c:pt>
                <c:pt idx="6">
                  <c:v>8.3333333333333329E-2</c:v>
                </c:pt>
                <c:pt idx="9">
                  <c:v>0</c:v>
                </c:pt>
              </c:numCache>
            </c:numRef>
          </c:val>
          <c:extLst>
            <c:ext xmlns:c16="http://schemas.microsoft.com/office/drawing/2014/chart" uri="{C3380CC4-5D6E-409C-BE32-E72D297353CC}">
              <c16:uniqueId val="{00000000-4208-436A-B13B-108E5D77C8F6}"/>
            </c:ext>
          </c:extLst>
        </c:ser>
        <c:dLbls>
          <c:showLegendKey val="0"/>
          <c:showVal val="1"/>
          <c:showCatName val="0"/>
          <c:showSerName val="0"/>
          <c:showPercent val="0"/>
          <c:showBubbleSize val="0"/>
        </c:dLbls>
        <c:gapWidth val="150"/>
        <c:shape val="box"/>
        <c:axId val="559311248"/>
        <c:axId val="559291120"/>
        <c:axId val="0"/>
        <c:extLst>
          <c:ext xmlns:c15="http://schemas.microsoft.com/office/drawing/2012/chart" uri="{02D57815-91ED-43cb-92C2-25804820EDAC}">
            <c15:filteredBarSeries>
              <c15:ser>
                <c:idx val="1"/>
                <c:order val="1"/>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INDICADORES!$F$13:$Q$14</c15:sqref>
                        </c15:formulaRef>
                      </c:ext>
                    </c:extLst>
                    <c:strCache>
                      <c:ptCount val="10"/>
                      <c:pt idx="0">
                        <c:v>100%</c:v>
                      </c:pt>
                      <c:pt idx="3">
                        <c:v>100%</c:v>
                      </c:pt>
                      <c:pt idx="6">
                        <c:v>8%</c:v>
                      </c:pt>
                      <c:pt idx="9">
                        <c:v>N,A</c:v>
                      </c:pt>
                    </c:strCache>
                  </c:strRef>
                </c:cat>
                <c:val>
                  <c:numRef>
                    <c:extLst>
                      <c:ext uri="{02D57815-91ED-43cb-92C2-25804820EDAC}">
                        <c15:formulaRef>
                          <c15:sqref>INDICADORES!$F$14:$Q$14</c15:sqref>
                        </c15:formulaRef>
                      </c:ext>
                    </c:extLst>
                    <c:numCache>
                      <c:formatCode>0%</c:formatCode>
                      <c:ptCount val="12"/>
                    </c:numCache>
                  </c:numRef>
                </c:val>
                <c:extLst>
                  <c:ext xmlns:c16="http://schemas.microsoft.com/office/drawing/2014/chart" uri="{C3380CC4-5D6E-409C-BE32-E72D297353CC}">
                    <c16:uniqueId val="{00000001-4208-436A-B13B-108E5D77C8F6}"/>
                  </c:ext>
                </c:extLst>
              </c15:ser>
            </c15:filteredBarSeries>
          </c:ext>
        </c:extLst>
      </c:bar3DChart>
      <c:catAx>
        <c:axId val="559311248"/>
        <c:scaling>
          <c:orientation val="minMax"/>
        </c:scaling>
        <c:delete val="1"/>
        <c:axPos val="b"/>
        <c:numFmt formatCode="General" sourceLinked="1"/>
        <c:majorTickMark val="none"/>
        <c:minorTickMark val="none"/>
        <c:tickLblPos val="nextTo"/>
        <c:crossAx val="559291120"/>
        <c:crosses val="autoZero"/>
        <c:auto val="1"/>
        <c:lblAlgn val="ctr"/>
        <c:lblOffset val="100"/>
        <c:noMultiLvlLbl val="0"/>
      </c:catAx>
      <c:valAx>
        <c:axId val="559291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59311248"/>
        <c:crosses val="autoZero"/>
        <c:crossBetween val="between"/>
        <c:majorUnit val="0.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_rels/drawing5.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wm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597694</xdr:colOff>
      <xdr:row>0</xdr:row>
      <xdr:rowOff>9525</xdr:rowOff>
    </xdr:from>
    <xdr:to>
      <xdr:col>15</xdr:col>
      <xdr:colOff>238125</xdr:colOff>
      <xdr:row>1</xdr:row>
      <xdr:rowOff>596328</xdr:rowOff>
    </xdr:to>
    <xdr:pic>
      <xdr:nvPicPr>
        <xdr:cNvPr id="2" name="13 Imagen" descr="logo_meridian">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6719" y="9525"/>
          <a:ext cx="6993731" cy="9011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107156</xdr:colOff>
      <xdr:row>0</xdr:row>
      <xdr:rowOff>98163</xdr:rowOff>
    </xdr:from>
    <xdr:to>
      <xdr:col>3</xdr:col>
      <xdr:colOff>107156</xdr:colOff>
      <xdr:row>1</xdr:row>
      <xdr:rowOff>445298</xdr:rowOff>
    </xdr:to>
    <xdr:pic>
      <xdr:nvPicPr>
        <xdr:cNvPr id="2" name="13 Imagen" descr="logo_meridian">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 y="98163"/>
          <a:ext cx="3001992" cy="8733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276696</xdr:colOff>
      <xdr:row>0</xdr:row>
      <xdr:rowOff>16276</xdr:rowOff>
    </xdr:from>
    <xdr:to>
      <xdr:col>0</xdr:col>
      <xdr:colOff>4101616</xdr:colOff>
      <xdr:row>2</xdr:row>
      <xdr:rowOff>24696</xdr:rowOff>
    </xdr:to>
    <xdr:pic>
      <xdr:nvPicPr>
        <xdr:cNvPr id="2" name="13 Imagen" descr="logo_meridian">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696" y="16276"/>
          <a:ext cx="3824920" cy="16197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416685</xdr:colOff>
      <xdr:row>0</xdr:row>
      <xdr:rowOff>147881</xdr:rowOff>
    </xdr:from>
    <xdr:to>
      <xdr:col>2</xdr:col>
      <xdr:colOff>2516323</xdr:colOff>
      <xdr:row>1</xdr:row>
      <xdr:rowOff>446109</xdr:rowOff>
    </xdr:to>
    <xdr:pic>
      <xdr:nvPicPr>
        <xdr:cNvPr id="2" name="13 Imagen" descr="logo_meridian">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6864" y="147881"/>
          <a:ext cx="2766388" cy="896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462643</xdr:colOff>
      <xdr:row>0</xdr:row>
      <xdr:rowOff>68035</xdr:rowOff>
    </xdr:from>
    <xdr:to>
      <xdr:col>2</xdr:col>
      <xdr:colOff>359772</xdr:colOff>
      <xdr:row>1</xdr:row>
      <xdr:rowOff>294185</xdr:rowOff>
    </xdr:to>
    <xdr:pic>
      <xdr:nvPicPr>
        <xdr:cNvPr id="2" name="13 Imagen" descr="logo_meridian">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036" y="68035"/>
          <a:ext cx="1992629" cy="579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144911</xdr:colOff>
      <xdr:row>7</xdr:row>
      <xdr:rowOff>71712</xdr:rowOff>
    </xdr:from>
    <xdr:to>
      <xdr:col>26</xdr:col>
      <xdr:colOff>1637161</xdr:colOff>
      <xdr:row>8</xdr:row>
      <xdr:rowOff>872364</xdr:rowOff>
    </xdr:to>
    <xdr:graphicFrame macro="">
      <xdr:nvGraphicFramePr>
        <xdr:cNvPr id="4" name="Gráfico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98961</xdr:colOff>
      <xdr:row>9</xdr:row>
      <xdr:rowOff>74222</xdr:rowOff>
    </xdr:from>
    <xdr:to>
      <xdr:col>26</xdr:col>
      <xdr:colOff>1674091</xdr:colOff>
      <xdr:row>11</xdr:row>
      <xdr:rowOff>536039</xdr:rowOff>
    </xdr:to>
    <xdr:graphicFrame macro="">
      <xdr:nvGraphicFramePr>
        <xdr:cNvPr id="5" name="Gráfico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73351</xdr:colOff>
      <xdr:row>14</xdr:row>
      <xdr:rowOff>87586</xdr:rowOff>
    </xdr:from>
    <xdr:to>
      <xdr:col>26</xdr:col>
      <xdr:colOff>1675085</xdr:colOff>
      <xdr:row>15</xdr:row>
      <xdr:rowOff>886810</xdr:rowOff>
    </xdr:to>
    <xdr:graphicFrame macro="">
      <xdr:nvGraphicFramePr>
        <xdr:cNvPr id="10" name="Gráfico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67880</xdr:colOff>
      <xdr:row>18</xdr:row>
      <xdr:rowOff>76637</xdr:rowOff>
    </xdr:from>
    <xdr:to>
      <xdr:col>26</xdr:col>
      <xdr:colOff>1675086</xdr:colOff>
      <xdr:row>19</xdr:row>
      <xdr:rowOff>886810</xdr:rowOff>
    </xdr:to>
    <xdr:graphicFrame macro="">
      <xdr:nvGraphicFramePr>
        <xdr:cNvPr id="12" name="Gráfico 11">
          <a:extLst>
            <a:ext uri="{FF2B5EF4-FFF2-40B4-BE49-F238E27FC236}">
              <a16:creationId xmlns:a16="http://schemas.microsoft.com/office/drawing/2014/main" id="{00000000-0008-0000-05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82378</xdr:colOff>
      <xdr:row>16</xdr:row>
      <xdr:rowOff>42905</xdr:rowOff>
    </xdr:from>
    <xdr:to>
      <xdr:col>26</xdr:col>
      <xdr:colOff>1664730</xdr:colOff>
      <xdr:row>17</xdr:row>
      <xdr:rowOff>912512</xdr:rowOff>
    </xdr:to>
    <xdr:graphicFrame macro="">
      <xdr:nvGraphicFramePr>
        <xdr:cNvPr id="18" name="Gráfico 17">
          <a:extLst>
            <a:ext uri="{FF2B5EF4-FFF2-40B4-BE49-F238E27FC236}">
              <a16:creationId xmlns:a16="http://schemas.microsoft.com/office/drawing/2014/main" id="{00000000-0008-0000-05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74083</xdr:colOff>
      <xdr:row>12</xdr:row>
      <xdr:rowOff>74081</xdr:rowOff>
    </xdr:from>
    <xdr:to>
      <xdr:col>26</xdr:col>
      <xdr:colOff>1693333</xdr:colOff>
      <xdr:row>13</xdr:row>
      <xdr:rowOff>1005415</xdr:rowOff>
    </xdr:to>
    <xdr:graphicFrame macro="">
      <xdr:nvGraphicFramePr>
        <xdr:cNvPr id="19" name="Gráfico 18">
          <a:extLst>
            <a:ext uri="{FF2B5EF4-FFF2-40B4-BE49-F238E27FC236}">
              <a16:creationId xmlns:a16="http://schemas.microsoft.com/office/drawing/2014/main" id="{00000000-0008-0000-05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ompany Man Siete" id="{A6263F9D-25C7-4D81-A195-2AB0967987BB}" userId="S::CompanyMan7@MeridianConsultingltda1.onmicrosoft.com::a0aa7a11-71ae-40c4-8a6d-8a77c2568d4c" providerId="AD"/>
  <person displayName="Company Man Uno" id="{E2E08777-05AC-4309-8824-BFAA66A995F3}" userId="S::companyman1@MeridianConsultingltda1.onmicrosoft.com::89a8d226-5f08-4bfe-9922-10e174b13ddb" providerId="AD"/>
  <person displayName="Administrativo Uno" id="{4E4B2D4B-DB66-4AAE-91E6-43A7453F977C}" userId="S::administrativo1@MeridianConsultingltda1.onmicrosoft.com::2740cb20-5359-4a95-8b46-eb92981b91b4"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23" dT="2026-05-05T20:39:44.12" personId="{E2E08777-05AC-4309-8824-BFAA66A995F3}" id="{02FA2668-A42A-4EFE-B626-F0A1EFB2CFBA}">
    <text>Alvaro Rivera
Andres Rios
Lady Orozco
Silvia Flechetcher
Carlos Gomez
Juan Guerrero</text>
  </threadedComment>
</ThreadedComments>
</file>

<file path=xl/threadedComments/threadedComment2.xml><?xml version="1.0" encoding="utf-8"?>
<ThreadedComments xmlns="http://schemas.microsoft.com/office/spreadsheetml/2018/threadedcomments" xmlns:x="http://schemas.openxmlformats.org/spreadsheetml/2006/main">
  <threadedComment ref="H19" dT="2026-05-26T21:45:34.28" personId="{A6263F9D-25C7-4D81-A195-2AB0967987BB}" id="{AD2C0A3D-70E2-421D-893C-D062DB76B76B}">
    <text>Empresa</text>
  </threadedComment>
  <threadedComment ref="I19" dT="2026-07-27T13:48:18.02" personId="{4E4B2D4B-DB66-4AAE-91E6-43A7453F977C}" id="{26AF3A07-6718-40DC-8458-0509346FB5D7}">
    <text>Inactivo desde el 27/07</text>
  </threadedComment>
  <threadedComment ref="H61" dT="2026-05-26T21:45:25.45" personId="{A6263F9D-25C7-4D81-A195-2AB0967987BB}" id="{45E6C211-5004-4566-8621-9AF0FAF86E4F}">
    <text>Empresa</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P37"/>
  <sheetViews>
    <sheetView showGridLines="0" topLeftCell="A3" zoomScale="80" zoomScaleNormal="80" workbookViewId="0">
      <selection activeCell="A11" sqref="A11:B11"/>
    </sheetView>
  </sheetViews>
  <sheetFormatPr baseColWidth="10" defaultColWidth="11.42578125" defaultRowHeight="12.75"/>
  <cols>
    <col min="1" max="1" width="6.28515625" style="66" customWidth="1"/>
    <col min="2" max="2" width="19.5703125" style="66" customWidth="1"/>
    <col min="3" max="21" width="6.28515625" style="66" customWidth="1"/>
    <col min="22" max="25" width="6.140625" style="66" customWidth="1"/>
    <col min="26" max="121" width="6.28515625" style="66" customWidth="1"/>
    <col min="122" max="145" width="6.42578125" style="66" customWidth="1"/>
    <col min="146" max="216" width="6.7109375" style="66" customWidth="1"/>
    <col min="217" max="242" width="6.85546875" style="66" customWidth="1"/>
    <col min="243" max="266" width="6.5703125" style="66" customWidth="1"/>
    <col min="267" max="312" width="6.42578125" style="66" customWidth="1"/>
    <col min="313" max="314" width="6.7109375" style="66" customWidth="1"/>
    <col min="315" max="361" width="5.7109375" style="66" customWidth="1"/>
    <col min="362" max="362" width="8.85546875" style="66" customWidth="1"/>
    <col min="363" max="386" width="8.5703125" style="66" customWidth="1"/>
    <col min="387" max="410" width="7.7109375" style="66" customWidth="1"/>
    <col min="411" max="456" width="8.28515625" style="66" customWidth="1"/>
    <col min="457" max="458" width="6.28515625" style="66" customWidth="1"/>
    <col min="459" max="482" width="9.140625" style="66" customWidth="1"/>
    <col min="483" max="506" width="8" style="66" customWidth="1"/>
    <col min="507" max="530" width="7.7109375" style="66" customWidth="1"/>
    <col min="531" max="554" width="7.85546875" style="66" customWidth="1"/>
    <col min="555" max="578" width="8.140625" style="66" customWidth="1"/>
    <col min="579" max="602" width="8.28515625" style="66" customWidth="1"/>
    <col min="603" max="626" width="7.42578125" style="66" customWidth="1"/>
    <col min="627" max="650" width="7.7109375" style="66" customWidth="1"/>
    <col min="651" max="674" width="7.28515625" style="66" customWidth="1"/>
    <col min="675" max="698" width="7.140625" style="66" customWidth="1"/>
    <col min="699" max="746" width="7.28515625" style="66" customWidth="1"/>
    <col min="747" max="770" width="7.7109375" style="66" customWidth="1"/>
    <col min="771" max="16384" width="11.42578125" style="66"/>
  </cols>
  <sheetData>
    <row r="1" spans="1:770" ht="15">
      <c r="A1" s="411"/>
      <c r="B1" s="411"/>
      <c r="C1" s="411"/>
      <c r="D1" s="411"/>
      <c r="E1" s="411"/>
      <c r="F1" s="411"/>
      <c r="G1" s="411"/>
      <c r="H1" s="411"/>
      <c r="I1" s="411"/>
      <c r="J1" s="411"/>
      <c r="K1" s="411"/>
      <c r="L1" s="411"/>
      <c r="M1" s="411"/>
      <c r="N1" s="411"/>
      <c r="O1" s="411"/>
      <c r="P1" s="411"/>
      <c r="Q1" s="411"/>
      <c r="R1" s="411"/>
      <c r="S1" s="411"/>
      <c r="T1" s="411"/>
      <c r="U1" s="411"/>
      <c r="V1" s="411"/>
      <c r="W1" s="411"/>
      <c r="X1" s="411"/>
      <c r="Y1" s="411"/>
      <c r="Z1" s="412"/>
      <c r="AA1" s="67"/>
      <c r="AB1" s="67"/>
      <c r="AC1" s="67"/>
      <c r="AD1" s="67"/>
      <c r="AE1" s="67"/>
      <c r="AF1" s="67"/>
      <c r="AG1" s="67"/>
      <c r="AH1" s="67"/>
      <c r="AI1" s="67"/>
      <c r="AJ1" s="67"/>
      <c r="AK1" s="67"/>
      <c r="AL1" s="67"/>
      <c r="AM1" s="67"/>
      <c r="AN1" s="67"/>
      <c r="AO1" s="67"/>
      <c r="AP1" s="67"/>
      <c r="AQ1" s="67"/>
      <c r="AR1" s="67"/>
      <c r="AS1" s="67"/>
      <c r="AT1" s="67"/>
      <c r="AU1" s="67"/>
      <c r="AV1" s="67"/>
      <c r="AW1" s="67"/>
      <c r="AX1" s="413"/>
      <c r="AY1" s="413"/>
      <c r="AZ1" s="413"/>
      <c r="BA1" s="413"/>
      <c r="BB1" s="413"/>
      <c r="BC1" s="413"/>
      <c r="BD1" s="413"/>
      <c r="BE1" s="413"/>
      <c r="BF1" s="413"/>
      <c r="BG1" s="413"/>
      <c r="BH1" s="413"/>
      <c r="BI1" s="413"/>
      <c r="BJ1" s="413"/>
      <c r="BK1" s="413"/>
      <c r="BL1" s="413"/>
      <c r="BM1" s="413"/>
      <c r="BN1" s="413"/>
      <c r="BO1" s="413"/>
      <c r="BP1" s="413"/>
      <c r="BQ1" s="413"/>
      <c r="BR1" s="413"/>
      <c r="BS1" s="413"/>
      <c r="BT1" s="413"/>
      <c r="BU1" s="413"/>
      <c r="BV1" s="413"/>
      <c r="BW1" s="413"/>
      <c r="BX1" s="413"/>
      <c r="BY1" s="413"/>
      <c r="BZ1" s="413"/>
      <c r="CA1" s="413"/>
      <c r="CB1" s="413"/>
      <c r="CC1" s="413"/>
      <c r="CD1" s="413"/>
      <c r="CE1" s="413"/>
      <c r="CF1" s="413"/>
      <c r="CG1" s="413"/>
      <c r="CH1" s="413"/>
      <c r="CI1" s="413"/>
      <c r="CJ1" s="413"/>
      <c r="CK1" s="413"/>
      <c r="CL1" s="413"/>
      <c r="CM1" s="413"/>
      <c r="CN1" s="413"/>
      <c r="CO1" s="413"/>
      <c r="CP1" s="413"/>
      <c r="CQ1" s="413"/>
      <c r="CR1" s="413"/>
      <c r="CS1" s="413"/>
      <c r="CT1" s="413"/>
      <c r="CU1" s="413"/>
      <c r="CV1" s="413"/>
      <c r="CW1" s="413"/>
      <c r="CX1" s="413"/>
      <c r="CY1" s="413"/>
      <c r="CZ1" s="413"/>
      <c r="DA1" s="413"/>
      <c r="DB1" s="413"/>
      <c r="DC1" s="413"/>
      <c r="DD1" s="413"/>
      <c r="DE1" s="413"/>
      <c r="DF1" s="413"/>
      <c r="DG1" s="413"/>
      <c r="DH1" s="413"/>
      <c r="DI1" s="413"/>
      <c r="DJ1" s="413"/>
      <c r="DK1" s="413"/>
      <c r="DL1" s="413"/>
      <c r="DM1" s="413"/>
      <c r="DN1" s="413"/>
      <c r="DO1" s="413"/>
      <c r="DP1" s="413"/>
      <c r="DQ1" s="413"/>
      <c r="DR1" s="413"/>
      <c r="DS1" s="413"/>
      <c r="DT1" s="413"/>
      <c r="DU1" s="413"/>
      <c r="DV1" s="413"/>
      <c r="DW1" s="413"/>
      <c r="DX1" s="413"/>
      <c r="DY1" s="413"/>
      <c r="DZ1" s="413"/>
      <c r="EA1" s="413"/>
      <c r="EB1" s="413"/>
      <c r="EC1" s="413"/>
      <c r="ED1" s="413"/>
      <c r="EE1" s="413"/>
      <c r="EF1" s="413"/>
      <c r="EG1" s="413"/>
      <c r="EH1" s="413"/>
      <c r="EI1" s="413"/>
      <c r="EJ1" s="413"/>
      <c r="EK1" s="413"/>
      <c r="EL1" s="413"/>
      <c r="EM1" s="413"/>
      <c r="EN1" s="413"/>
      <c r="EO1" s="413"/>
      <c r="EP1" s="413"/>
      <c r="EQ1" s="413"/>
      <c r="ER1" s="413"/>
      <c r="ES1" s="413"/>
      <c r="ET1" s="413"/>
      <c r="EU1" s="413"/>
      <c r="EV1" s="413"/>
      <c r="EW1" s="413"/>
      <c r="EX1" s="413"/>
      <c r="EY1" s="413"/>
      <c r="EZ1" s="413"/>
      <c r="FA1" s="413"/>
      <c r="FB1" s="413"/>
      <c r="FC1" s="413"/>
      <c r="FD1" s="413"/>
      <c r="FE1" s="413"/>
      <c r="FF1" s="413"/>
      <c r="FG1" s="413"/>
      <c r="FH1" s="413"/>
      <c r="FI1" s="413"/>
      <c r="FJ1" s="413"/>
      <c r="FK1" s="413"/>
      <c r="FL1" s="413"/>
      <c r="FM1" s="413"/>
      <c r="FN1" s="413"/>
      <c r="FO1" s="413"/>
      <c r="FP1" s="413"/>
      <c r="FQ1" s="413"/>
      <c r="FR1" s="413"/>
      <c r="FS1" s="413"/>
      <c r="FT1" s="413"/>
      <c r="FU1" s="413"/>
      <c r="FV1" s="413"/>
      <c r="FW1" s="413"/>
      <c r="FX1" s="413"/>
      <c r="FY1" s="413"/>
      <c r="FZ1" s="413"/>
      <c r="GA1" s="413"/>
      <c r="GB1" s="413"/>
      <c r="GC1" s="413"/>
      <c r="GD1" s="413"/>
      <c r="GE1" s="413"/>
      <c r="GF1" s="413"/>
      <c r="GG1" s="413"/>
      <c r="GH1" s="413"/>
      <c r="GI1" s="413"/>
      <c r="GJ1" s="413"/>
      <c r="GK1" s="413"/>
      <c r="GL1" s="413"/>
      <c r="GM1" s="413"/>
      <c r="GN1" s="413"/>
      <c r="GO1" s="413"/>
      <c r="GP1" s="413"/>
      <c r="GQ1" s="413"/>
      <c r="GR1" s="413"/>
      <c r="GS1" s="413"/>
      <c r="GT1" s="413"/>
      <c r="GU1" s="413"/>
      <c r="GV1" s="413"/>
      <c r="GW1" s="413"/>
      <c r="GX1" s="413"/>
      <c r="GY1" s="413"/>
      <c r="GZ1" s="413"/>
      <c r="HA1" s="413"/>
      <c r="HB1" s="413"/>
      <c r="HC1" s="413"/>
      <c r="HD1" s="413"/>
      <c r="HE1" s="413"/>
      <c r="HF1" s="413"/>
      <c r="HG1" s="413"/>
      <c r="HH1" s="413"/>
      <c r="HI1" s="413"/>
      <c r="HJ1" s="413"/>
      <c r="HK1" s="413"/>
      <c r="HL1" s="413"/>
      <c r="HM1" s="413"/>
      <c r="HN1" s="413"/>
      <c r="HO1" s="413"/>
      <c r="HP1" s="413"/>
      <c r="HQ1" s="413"/>
      <c r="HR1" s="413"/>
      <c r="HS1" s="413"/>
      <c r="HT1" s="413"/>
      <c r="HU1" s="413"/>
      <c r="HV1" s="413"/>
      <c r="HW1" s="413"/>
      <c r="HX1" s="413"/>
      <c r="HY1" s="413"/>
      <c r="HZ1" s="413"/>
      <c r="IA1" s="413"/>
      <c r="IB1" s="413"/>
      <c r="IC1" s="413"/>
      <c r="ID1" s="413"/>
      <c r="IE1" s="413"/>
      <c r="IF1" s="413"/>
      <c r="IG1" s="413"/>
      <c r="IH1" s="413"/>
      <c r="II1" s="413"/>
      <c r="IJ1" s="413"/>
      <c r="IK1" s="413"/>
      <c r="IL1" s="413"/>
      <c r="IM1" s="413"/>
      <c r="IN1" s="413"/>
      <c r="IO1" s="413"/>
      <c r="IP1" s="413"/>
      <c r="IQ1" s="413"/>
      <c r="IR1" s="413"/>
      <c r="IS1" s="413"/>
      <c r="IT1" s="413"/>
      <c r="IU1" s="413"/>
      <c r="IV1" s="413"/>
      <c r="IW1" s="413"/>
      <c r="IX1" s="413"/>
      <c r="IY1" s="413"/>
      <c r="IZ1" s="413"/>
      <c r="JA1" s="413"/>
      <c r="JB1" s="413"/>
      <c r="JC1" s="413"/>
      <c r="JD1" s="413"/>
      <c r="JE1" s="413"/>
      <c r="JF1" s="413"/>
      <c r="JG1" s="413"/>
      <c r="JH1" s="413"/>
      <c r="JI1" s="413"/>
      <c r="JJ1" s="413"/>
      <c r="JK1" s="413"/>
      <c r="JL1" s="413"/>
      <c r="JM1" s="413"/>
      <c r="JN1" s="413"/>
      <c r="JO1" s="413"/>
      <c r="JP1" s="413"/>
      <c r="JQ1" s="413"/>
      <c r="JR1" s="413"/>
      <c r="JS1" s="413"/>
      <c r="JT1" s="413"/>
      <c r="JU1" s="413"/>
      <c r="JV1" s="413"/>
      <c r="JW1" s="413"/>
      <c r="JX1" s="413"/>
      <c r="JY1" s="413"/>
      <c r="JZ1" s="413"/>
      <c r="KA1" s="413"/>
      <c r="KB1" s="413"/>
      <c r="KC1" s="413"/>
      <c r="KD1" s="413"/>
      <c r="KE1" s="413"/>
      <c r="KF1" s="413"/>
      <c r="KG1" s="413"/>
      <c r="KH1" s="413"/>
      <c r="KI1" s="413"/>
      <c r="KJ1" s="413"/>
      <c r="KK1" s="413"/>
      <c r="KL1" s="413"/>
      <c r="KM1" s="413"/>
      <c r="KN1" s="413"/>
      <c r="KO1" s="413"/>
      <c r="KP1" s="413"/>
      <c r="KQ1" s="413"/>
      <c r="KR1" s="413"/>
      <c r="KS1" s="413"/>
      <c r="KT1" s="413"/>
      <c r="KU1" s="413"/>
      <c r="KV1" s="413"/>
      <c r="KW1" s="413"/>
      <c r="KX1" s="413"/>
      <c r="KY1" s="413"/>
      <c r="KZ1" s="413"/>
      <c r="LA1" s="413"/>
      <c r="LB1" s="413"/>
      <c r="LC1" s="413"/>
      <c r="LD1" s="413"/>
      <c r="LE1" s="413"/>
      <c r="LF1" s="413"/>
      <c r="LG1" s="413"/>
      <c r="LH1" s="413"/>
      <c r="LI1" s="413"/>
      <c r="LJ1" s="413"/>
      <c r="LK1" s="413"/>
      <c r="LL1" s="413"/>
      <c r="LM1" s="413"/>
      <c r="LN1" s="413"/>
      <c r="LO1" s="413"/>
      <c r="LP1" s="413"/>
      <c r="LQ1" s="413"/>
      <c r="LR1" s="413"/>
      <c r="LS1" s="413"/>
      <c r="LT1" s="413"/>
      <c r="LU1" s="413"/>
      <c r="LV1" s="413"/>
      <c r="LW1" s="413"/>
      <c r="LX1" s="413"/>
      <c r="LY1" s="413"/>
      <c r="LZ1" s="413"/>
      <c r="MA1" s="413"/>
      <c r="MB1" s="413"/>
      <c r="MC1" s="413"/>
      <c r="MD1" s="413"/>
      <c r="ME1" s="413"/>
      <c r="MF1" s="413"/>
      <c r="MG1" s="413"/>
      <c r="MH1" s="413"/>
      <c r="MI1" s="413"/>
      <c r="MJ1" s="413"/>
      <c r="MK1" s="413"/>
      <c r="ML1" s="413"/>
      <c r="MM1" s="413"/>
      <c r="MN1" s="413"/>
      <c r="MO1" s="413"/>
      <c r="MP1" s="413"/>
      <c r="MQ1" s="413"/>
      <c r="MR1" s="413"/>
      <c r="MS1" s="413"/>
      <c r="MT1" s="413"/>
      <c r="MU1" s="413"/>
      <c r="MV1" s="413"/>
      <c r="MW1" s="413"/>
      <c r="MX1" s="413"/>
      <c r="MY1" s="413"/>
      <c r="MZ1" s="413"/>
      <c r="NA1" s="413"/>
      <c r="NB1" s="413"/>
      <c r="NC1" s="413"/>
      <c r="ND1" s="413"/>
      <c r="NE1" s="413"/>
      <c r="NF1" s="413"/>
      <c r="NG1" s="413"/>
      <c r="NH1" s="413"/>
      <c r="NI1" s="413"/>
      <c r="NJ1" s="413"/>
      <c r="NK1" s="413"/>
      <c r="NL1" s="413"/>
      <c r="NM1" s="413"/>
      <c r="NN1" s="413"/>
      <c r="NO1" s="413"/>
      <c r="NP1" s="413"/>
      <c r="NQ1" s="413"/>
      <c r="NR1" s="413"/>
      <c r="NS1" s="413"/>
      <c r="NT1" s="413"/>
      <c r="NU1" s="413"/>
      <c r="NV1" s="413"/>
      <c r="NW1" s="413"/>
      <c r="NX1" s="413"/>
      <c r="NY1" s="413"/>
      <c r="NZ1" s="413"/>
      <c r="OA1" s="413"/>
      <c r="OB1" s="413"/>
      <c r="OC1" s="413"/>
      <c r="OD1" s="413"/>
      <c r="OE1" s="413"/>
      <c r="OF1" s="413"/>
      <c r="OG1" s="413"/>
      <c r="OH1" s="413"/>
      <c r="OI1" s="413"/>
      <c r="OJ1" s="413"/>
      <c r="OK1" s="413"/>
      <c r="OL1" s="413"/>
      <c r="OM1" s="413"/>
      <c r="ON1" s="413"/>
      <c r="OO1" s="413"/>
      <c r="OP1" s="413"/>
      <c r="OQ1" s="413"/>
      <c r="OR1" s="413"/>
      <c r="OS1" s="413"/>
      <c r="OT1" s="413"/>
      <c r="OU1" s="413"/>
      <c r="OV1" s="413"/>
      <c r="OW1" s="413"/>
      <c r="OX1" s="413"/>
      <c r="OY1" s="413"/>
      <c r="OZ1" s="413"/>
      <c r="PA1" s="413"/>
      <c r="PB1" s="413"/>
      <c r="PC1" s="413"/>
      <c r="PD1" s="413"/>
      <c r="PE1" s="413"/>
      <c r="PF1" s="413"/>
      <c r="PG1" s="413"/>
      <c r="PH1" s="413"/>
      <c r="PI1" s="413"/>
      <c r="PJ1" s="413"/>
      <c r="PK1" s="413"/>
      <c r="PL1" s="413"/>
      <c r="PM1" s="413"/>
      <c r="PN1" s="413"/>
      <c r="PO1" s="413"/>
      <c r="PP1" s="413"/>
      <c r="PQ1" s="413"/>
      <c r="PR1" s="413"/>
      <c r="PS1" s="413"/>
      <c r="PT1" s="413"/>
      <c r="PU1" s="413"/>
      <c r="PV1" s="413"/>
      <c r="PW1" s="413"/>
      <c r="PX1" s="413"/>
      <c r="PY1" s="413"/>
      <c r="PZ1" s="413"/>
      <c r="QA1" s="413"/>
      <c r="QB1" s="413"/>
      <c r="QC1" s="413"/>
      <c r="QD1" s="413"/>
      <c r="QE1" s="413"/>
      <c r="QF1" s="413"/>
      <c r="QG1" s="413"/>
      <c r="QH1" s="413"/>
      <c r="QI1" s="413"/>
      <c r="QJ1" s="413"/>
      <c r="QK1" s="413"/>
      <c r="QL1" s="413"/>
      <c r="QM1" s="413"/>
      <c r="QN1" s="413"/>
      <c r="QO1" s="413"/>
      <c r="QP1" s="413"/>
      <c r="QQ1" s="413"/>
      <c r="QR1" s="413"/>
      <c r="QS1" s="413"/>
      <c r="QT1" s="413"/>
      <c r="QU1" s="413"/>
      <c r="QV1" s="413"/>
      <c r="QW1" s="413"/>
      <c r="QX1" s="413"/>
      <c r="QY1" s="413"/>
      <c r="QZ1" s="413"/>
      <c r="RA1" s="413"/>
      <c r="RB1" s="413"/>
      <c r="RC1" s="413"/>
      <c r="RD1" s="413"/>
      <c r="RE1" s="413"/>
      <c r="RF1" s="413"/>
      <c r="RG1" s="413"/>
      <c r="RH1" s="413"/>
      <c r="RI1" s="413"/>
      <c r="RJ1" s="413"/>
      <c r="RK1" s="413"/>
      <c r="RL1" s="413"/>
      <c r="RM1" s="413"/>
      <c r="RN1" s="413"/>
      <c r="RO1" s="413"/>
      <c r="RP1" s="413"/>
      <c r="RQ1" s="413"/>
      <c r="RR1" s="413"/>
      <c r="RS1" s="413"/>
      <c r="RT1" s="413"/>
      <c r="RU1" s="413"/>
      <c r="RV1" s="413"/>
      <c r="RW1" s="413"/>
      <c r="RX1" s="413"/>
      <c r="RY1" s="413"/>
      <c r="RZ1" s="413"/>
      <c r="SA1" s="413"/>
      <c r="SB1" s="413"/>
      <c r="SC1" s="413"/>
      <c r="SD1" s="413"/>
      <c r="SE1" s="413"/>
      <c r="SF1" s="413"/>
      <c r="SG1" s="413"/>
      <c r="SH1" s="413"/>
      <c r="SI1" s="413"/>
      <c r="SJ1" s="413"/>
      <c r="SK1" s="413"/>
      <c r="SL1" s="413"/>
      <c r="SM1" s="413"/>
      <c r="SN1" s="413"/>
      <c r="SO1" s="413"/>
      <c r="SP1" s="413"/>
      <c r="SQ1" s="413"/>
      <c r="SR1" s="413"/>
      <c r="SS1" s="413"/>
      <c r="ST1" s="413"/>
      <c r="SU1" s="413"/>
      <c r="SV1" s="413"/>
      <c r="SW1" s="413"/>
      <c r="SX1" s="413"/>
      <c r="SY1" s="413"/>
      <c r="SZ1" s="413"/>
      <c r="TA1" s="413"/>
      <c r="TB1" s="413"/>
      <c r="TC1" s="413"/>
      <c r="TD1" s="413"/>
      <c r="TE1" s="413"/>
      <c r="TF1" s="413"/>
      <c r="TG1" s="413"/>
      <c r="TH1" s="413"/>
      <c r="TI1" s="413"/>
      <c r="TJ1" s="413"/>
      <c r="TK1" s="413"/>
      <c r="TL1" s="413"/>
      <c r="TM1" s="413"/>
      <c r="TN1" s="413"/>
      <c r="TO1" s="413"/>
      <c r="TP1" s="413"/>
      <c r="TQ1" s="413"/>
      <c r="TR1" s="413"/>
      <c r="TS1" s="413"/>
      <c r="TT1" s="413"/>
      <c r="TU1" s="413"/>
      <c r="TV1" s="413"/>
      <c r="TW1" s="413"/>
      <c r="TX1" s="413"/>
      <c r="TY1" s="413"/>
      <c r="TZ1" s="413"/>
      <c r="UA1" s="413"/>
      <c r="UB1" s="413"/>
      <c r="UC1" s="413"/>
      <c r="UD1" s="413"/>
      <c r="UE1" s="413"/>
      <c r="UF1" s="413"/>
      <c r="UG1" s="413"/>
      <c r="UH1" s="413"/>
      <c r="UI1" s="413"/>
      <c r="UJ1" s="413"/>
      <c r="UK1" s="413"/>
      <c r="UL1" s="413"/>
      <c r="UM1" s="413"/>
      <c r="UN1" s="413"/>
      <c r="UO1" s="413"/>
      <c r="UP1" s="413"/>
      <c r="UQ1" s="413"/>
      <c r="UR1" s="413"/>
      <c r="US1" s="413"/>
      <c r="UT1" s="413"/>
      <c r="UU1" s="413"/>
      <c r="UV1" s="413"/>
      <c r="UW1" s="413"/>
      <c r="UX1" s="413"/>
      <c r="UY1" s="413"/>
      <c r="UZ1" s="413"/>
      <c r="VA1" s="413"/>
      <c r="VB1" s="413"/>
      <c r="VC1" s="413"/>
      <c r="VD1" s="413"/>
      <c r="VE1" s="413"/>
      <c r="VF1" s="413"/>
      <c r="VG1" s="413"/>
      <c r="VH1" s="413"/>
      <c r="VI1" s="413"/>
      <c r="VJ1" s="413"/>
      <c r="VK1" s="413"/>
      <c r="VL1" s="413"/>
      <c r="VM1" s="413"/>
      <c r="VN1" s="413"/>
      <c r="VO1" s="413"/>
      <c r="VP1" s="413"/>
      <c r="VQ1" s="413"/>
      <c r="VR1" s="413"/>
      <c r="VS1" s="413"/>
      <c r="VT1" s="413"/>
      <c r="VU1" s="413"/>
      <c r="VV1" s="413"/>
      <c r="VW1" s="413"/>
      <c r="VX1" s="413"/>
      <c r="VY1" s="413"/>
      <c r="VZ1" s="413"/>
      <c r="WA1" s="413"/>
      <c r="WB1" s="413"/>
      <c r="WC1" s="413"/>
      <c r="WD1" s="413"/>
      <c r="WE1" s="413"/>
      <c r="WF1" s="413"/>
      <c r="WG1" s="413"/>
      <c r="WH1" s="413"/>
      <c r="WI1" s="413"/>
      <c r="WJ1" s="413"/>
      <c r="WK1" s="413"/>
      <c r="WL1" s="413"/>
      <c r="WM1" s="413"/>
      <c r="WN1" s="413"/>
      <c r="WO1" s="413"/>
      <c r="WP1" s="413"/>
      <c r="WQ1" s="413"/>
      <c r="WR1" s="413"/>
      <c r="WS1" s="413"/>
      <c r="WT1" s="413"/>
      <c r="WU1" s="413"/>
      <c r="WV1" s="413"/>
      <c r="WW1" s="413"/>
      <c r="WX1" s="413"/>
      <c r="WY1" s="413"/>
      <c r="WZ1" s="413"/>
      <c r="XA1" s="413"/>
      <c r="XB1" s="413"/>
      <c r="XC1" s="413"/>
      <c r="XD1" s="413"/>
      <c r="XE1" s="413"/>
      <c r="XF1" s="413"/>
      <c r="XG1" s="413"/>
      <c r="XH1" s="413"/>
      <c r="XI1" s="413"/>
      <c r="XJ1" s="413"/>
      <c r="XK1" s="413"/>
      <c r="XL1" s="413"/>
      <c r="XM1" s="413"/>
      <c r="XN1" s="413"/>
      <c r="XO1" s="413"/>
      <c r="XP1" s="413"/>
      <c r="XQ1" s="413"/>
      <c r="XR1" s="413"/>
      <c r="XS1" s="413"/>
      <c r="XT1" s="413"/>
      <c r="XU1" s="413"/>
      <c r="XV1" s="413"/>
      <c r="XW1" s="413"/>
      <c r="XX1" s="413"/>
      <c r="XY1" s="413"/>
      <c r="XZ1" s="413"/>
      <c r="YA1" s="413"/>
      <c r="YB1" s="413"/>
      <c r="YC1" s="413"/>
      <c r="YD1" s="413"/>
      <c r="YE1" s="413"/>
      <c r="YF1" s="413"/>
      <c r="YG1" s="413"/>
      <c r="YH1" s="413"/>
      <c r="YI1" s="413"/>
      <c r="YJ1" s="413"/>
      <c r="YK1" s="413"/>
      <c r="YL1" s="413"/>
      <c r="YM1" s="413"/>
      <c r="YN1" s="413"/>
      <c r="YO1" s="413"/>
      <c r="YP1" s="413"/>
      <c r="YQ1" s="413"/>
      <c r="YR1" s="413"/>
      <c r="YS1" s="413"/>
      <c r="YT1" s="413"/>
      <c r="YU1" s="413"/>
      <c r="YV1" s="413"/>
      <c r="YW1" s="413"/>
      <c r="YX1" s="413"/>
      <c r="YY1" s="413"/>
      <c r="YZ1" s="413"/>
      <c r="ZA1" s="413"/>
      <c r="ZB1" s="413"/>
      <c r="ZC1" s="413"/>
      <c r="ZD1" s="413"/>
      <c r="ZE1" s="413"/>
      <c r="ZF1" s="413"/>
      <c r="ZG1" s="413"/>
      <c r="ZH1" s="413"/>
      <c r="ZI1" s="413"/>
      <c r="ZJ1" s="413"/>
      <c r="ZK1" s="413"/>
      <c r="ZL1" s="413"/>
      <c r="ZM1" s="413"/>
      <c r="ZN1" s="413"/>
      <c r="ZO1" s="413"/>
      <c r="ZP1" s="413"/>
      <c r="ZQ1" s="413"/>
      <c r="ZR1" s="413"/>
      <c r="ZS1" s="413"/>
      <c r="ZT1" s="413"/>
      <c r="ZU1" s="413"/>
      <c r="ZV1" s="413"/>
      <c r="ZW1" s="413"/>
      <c r="ZX1" s="413"/>
      <c r="ZY1" s="413"/>
      <c r="ZZ1" s="413"/>
      <c r="AAA1" s="413"/>
      <c r="AAB1" s="413"/>
      <c r="AAC1" s="413"/>
      <c r="AAD1" s="413"/>
      <c r="AAE1" s="413"/>
      <c r="AAF1" s="413"/>
      <c r="AAG1" s="413"/>
      <c r="AAH1" s="413"/>
      <c r="AAI1" s="413"/>
      <c r="AAJ1" s="413"/>
      <c r="AAK1" s="413"/>
      <c r="AAL1" s="413"/>
      <c r="AAM1" s="413"/>
      <c r="AAN1" s="413"/>
      <c r="AAO1" s="413"/>
      <c r="AAP1" s="413"/>
      <c r="AAQ1" s="413"/>
      <c r="AAR1" s="413"/>
      <c r="AAS1" s="413"/>
      <c r="AAT1" s="413"/>
      <c r="AAU1" s="413"/>
      <c r="AAV1" s="413"/>
      <c r="AAW1" s="413"/>
      <c r="AAX1" s="413"/>
      <c r="AAY1" s="413"/>
      <c r="AAZ1" s="413"/>
      <c r="ABA1" s="413"/>
      <c r="ABB1" s="413"/>
      <c r="ABC1" s="413"/>
      <c r="ABD1" s="413"/>
      <c r="ABE1" s="413"/>
      <c r="ABF1" s="413"/>
      <c r="ABG1" s="413"/>
      <c r="ABH1" s="413"/>
      <c r="ABI1" s="413"/>
      <c r="ABJ1" s="413"/>
      <c r="ABK1" s="413"/>
      <c r="ABL1" s="413"/>
      <c r="ABM1" s="413"/>
      <c r="ABN1" s="413"/>
      <c r="ABO1" s="413"/>
      <c r="ABP1" s="413"/>
      <c r="ABQ1" s="413"/>
      <c r="ABR1" s="413"/>
      <c r="ABS1" s="413"/>
      <c r="ABT1" s="413"/>
      <c r="ABU1" s="413"/>
      <c r="ABV1" s="413"/>
      <c r="ABW1" s="413"/>
      <c r="ABX1" s="413"/>
      <c r="ABY1" s="413"/>
      <c r="ABZ1" s="413"/>
      <c r="ACA1" s="413"/>
      <c r="ACB1" s="413"/>
      <c r="ACC1" s="413"/>
      <c r="ACD1" s="413"/>
      <c r="ACE1" s="413"/>
      <c r="ACF1" s="413"/>
      <c r="ACG1" s="413"/>
      <c r="ACH1" s="413"/>
      <c r="ACI1" s="413"/>
      <c r="ACJ1" s="413"/>
      <c r="ACK1" s="413"/>
      <c r="ACL1" s="413"/>
      <c r="ACM1" s="413"/>
      <c r="ACN1" s="413"/>
      <c r="ACO1" s="413"/>
      <c r="ACP1" s="413"/>
    </row>
    <row r="2" spans="1:770" ht="15">
      <c r="A2" s="411"/>
      <c r="B2" s="411"/>
      <c r="C2" s="411"/>
      <c r="D2" s="411"/>
      <c r="E2" s="411"/>
      <c r="F2" s="411"/>
      <c r="G2" s="411"/>
      <c r="H2" s="411"/>
      <c r="I2" s="411"/>
      <c r="J2" s="411"/>
      <c r="K2" s="411"/>
      <c r="L2" s="411"/>
      <c r="M2" s="411"/>
      <c r="N2" s="411"/>
      <c r="O2" s="411"/>
      <c r="P2" s="411"/>
      <c r="Q2" s="411"/>
      <c r="R2" s="411"/>
      <c r="S2" s="411"/>
      <c r="T2" s="411"/>
      <c r="U2" s="411"/>
      <c r="V2" s="411"/>
      <c r="W2" s="411"/>
      <c r="X2" s="411"/>
      <c r="Y2" s="411"/>
      <c r="Z2" s="412"/>
      <c r="AA2" s="67"/>
      <c r="AB2" s="67"/>
      <c r="AC2" s="67"/>
      <c r="AD2" s="67"/>
      <c r="AE2" s="67"/>
      <c r="AF2" s="67"/>
      <c r="AG2" s="67"/>
      <c r="AH2" s="67"/>
      <c r="AI2" s="67"/>
      <c r="AJ2" s="67"/>
      <c r="AK2" s="67"/>
      <c r="AL2" s="67"/>
      <c r="AM2" s="67"/>
      <c r="AN2" s="67"/>
      <c r="AO2" s="67"/>
      <c r="AP2" s="67"/>
      <c r="AQ2" s="67"/>
      <c r="AR2" s="67"/>
      <c r="AS2" s="67"/>
      <c r="AT2" s="67"/>
      <c r="AU2" s="67"/>
      <c r="AV2" s="67"/>
      <c r="AW2" s="67"/>
      <c r="AX2" s="413"/>
      <c r="AY2" s="413"/>
      <c r="AZ2" s="413"/>
      <c r="BA2" s="413"/>
      <c r="BB2" s="413"/>
      <c r="BC2" s="413"/>
      <c r="BD2" s="413"/>
      <c r="BE2" s="413"/>
      <c r="BF2" s="413"/>
      <c r="BG2" s="413"/>
      <c r="BH2" s="413"/>
      <c r="BI2" s="413"/>
      <c r="BJ2" s="413"/>
      <c r="BK2" s="413"/>
      <c r="BL2" s="413"/>
      <c r="BM2" s="413"/>
      <c r="BN2" s="413"/>
      <c r="BO2" s="413"/>
      <c r="BP2" s="413"/>
      <c r="BQ2" s="413"/>
      <c r="BR2" s="413"/>
      <c r="BS2" s="413"/>
      <c r="BT2" s="413"/>
      <c r="BU2" s="413"/>
      <c r="BV2" s="413"/>
      <c r="BW2" s="413"/>
      <c r="BX2" s="413"/>
      <c r="BY2" s="413"/>
      <c r="BZ2" s="413"/>
      <c r="CA2" s="413"/>
      <c r="CB2" s="413"/>
      <c r="CC2" s="413"/>
      <c r="CD2" s="413"/>
      <c r="CE2" s="413"/>
      <c r="CF2" s="413"/>
      <c r="CG2" s="413"/>
      <c r="CH2" s="413"/>
      <c r="CI2" s="413"/>
      <c r="CJ2" s="413"/>
      <c r="CK2" s="413"/>
      <c r="CL2" s="413"/>
      <c r="CM2" s="413"/>
      <c r="CN2" s="413"/>
      <c r="CO2" s="413"/>
      <c r="CP2" s="413"/>
      <c r="CQ2" s="413"/>
      <c r="CR2" s="413"/>
      <c r="CS2" s="413"/>
      <c r="CT2" s="413"/>
      <c r="CU2" s="413"/>
      <c r="CV2" s="413"/>
      <c r="CW2" s="413"/>
      <c r="CX2" s="413"/>
      <c r="CY2" s="413"/>
      <c r="CZ2" s="413"/>
      <c r="DA2" s="413"/>
      <c r="DB2" s="413"/>
      <c r="DC2" s="413"/>
      <c r="DD2" s="413"/>
      <c r="DE2" s="413"/>
      <c r="DF2" s="413"/>
      <c r="DG2" s="413"/>
      <c r="DH2" s="413"/>
      <c r="DI2" s="413"/>
      <c r="DJ2" s="413"/>
      <c r="DK2" s="413"/>
      <c r="DL2" s="413"/>
      <c r="DM2" s="413"/>
      <c r="DN2" s="413"/>
      <c r="DO2" s="413"/>
      <c r="DP2" s="413"/>
      <c r="DQ2" s="413"/>
      <c r="DR2" s="413"/>
      <c r="DS2" s="413"/>
      <c r="DT2" s="413"/>
      <c r="DU2" s="413"/>
      <c r="DV2" s="413"/>
      <c r="DW2" s="413"/>
      <c r="DX2" s="413"/>
      <c r="DY2" s="413"/>
      <c r="DZ2" s="413"/>
      <c r="EA2" s="413"/>
      <c r="EB2" s="413"/>
      <c r="EC2" s="413"/>
      <c r="ED2" s="413"/>
      <c r="EE2" s="413"/>
      <c r="EF2" s="413"/>
      <c r="EG2" s="413"/>
      <c r="EH2" s="413"/>
      <c r="EI2" s="413"/>
      <c r="EJ2" s="413"/>
      <c r="EK2" s="413"/>
      <c r="EL2" s="413"/>
      <c r="EM2" s="413"/>
      <c r="EN2" s="413"/>
      <c r="EO2" s="413"/>
      <c r="EP2" s="413"/>
      <c r="EQ2" s="413"/>
      <c r="ER2" s="413"/>
      <c r="ES2" s="413"/>
      <c r="ET2" s="413"/>
      <c r="EU2" s="413"/>
      <c r="EV2" s="413"/>
      <c r="EW2" s="413"/>
      <c r="EX2" s="413"/>
      <c r="EY2" s="413"/>
      <c r="EZ2" s="413"/>
      <c r="FA2" s="413"/>
      <c r="FB2" s="413"/>
      <c r="FC2" s="413"/>
      <c r="FD2" s="413"/>
      <c r="FE2" s="413"/>
      <c r="FF2" s="413"/>
      <c r="FG2" s="413"/>
      <c r="FH2" s="413"/>
      <c r="FI2" s="413"/>
      <c r="FJ2" s="413"/>
      <c r="FK2" s="413"/>
      <c r="FL2" s="413"/>
      <c r="FM2" s="413"/>
      <c r="FN2" s="413"/>
      <c r="FO2" s="413"/>
      <c r="FP2" s="413"/>
      <c r="FQ2" s="413"/>
      <c r="FR2" s="413"/>
      <c r="FS2" s="413"/>
      <c r="FT2" s="413"/>
      <c r="FU2" s="413"/>
      <c r="FV2" s="413"/>
      <c r="FW2" s="413"/>
      <c r="FX2" s="413"/>
      <c r="FY2" s="413"/>
      <c r="FZ2" s="413"/>
      <c r="GA2" s="413"/>
      <c r="GB2" s="413"/>
      <c r="GC2" s="413"/>
      <c r="GD2" s="413"/>
      <c r="GE2" s="413"/>
      <c r="GF2" s="413"/>
      <c r="GG2" s="413"/>
      <c r="GH2" s="413"/>
      <c r="GI2" s="413"/>
      <c r="GJ2" s="413"/>
      <c r="GK2" s="413"/>
      <c r="GL2" s="413"/>
      <c r="GM2" s="413"/>
      <c r="GN2" s="413"/>
      <c r="GO2" s="413"/>
      <c r="GP2" s="413"/>
      <c r="GQ2" s="413"/>
      <c r="GR2" s="413"/>
      <c r="GS2" s="413"/>
      <c r="GT2" s="413"/>
      <c r="GU2" s="413"/>
      <c r="GV2" s="413"/>
      <c r="GW2" s="413"/>
      <c r="GX2" s="413"/>
      <c r="GY2" s="413"/>
      <c r="GZ2" s="413"/>
      <c r="HA2" s="413"/>
      <c r="HB2" s="413"/>
      <c r="HC2" s="413"/>
      <c r="HD2" s="413"/>
      <c r="HE2" s="413"/>
      <c r="HF2" s="413"/>
      <c r="HG2" s="413"/>
      <c r="HH2" s="413"/>
      <c r="HI2" s="413"/>
      <c r="HJ2" s="413"/>
      <c r="HK2" s="413"/>
      <c r="HL2" s="413"/>
      <c r="HM2" s="413"/>
      <c r="HN2" s="413"/>
      <c r="HO2" s="413"/>
      <c r="HP2" s="413"/>
      <c r="HQ2" s="413"/>
      <c r="HR2" s="413"/>
      <c r="HS2" s="413"/>
      <c r="HT2" s="413"/>
      <c r="HU2" s="413"/>
      <c r="HV2" s="413"/>
      <c r="HW2" s="413"/>
      <c r="HX2" s="413"/>
      <c r="HY2" s="413"/>
      <c r="HZ2" s="413"/>
      <c r="IA2" s="413"/>
      <c r="IB2" s="413"/>
      <c r="IC2" s="413"/>
      <c r="ID2" s="413"/>
      <c r="IE2" s="413"/>
      <c r="IF2" s="413"/>
      <c r="IG2" s="413"/>
      <c r="IH2" s="413"/>
      <c r="II2" s="413"/>
      <c r="IJ2" s="413"/>
      <c r="IK2" s="413"/>
      <c r="IL2" s="413"/>
      <c r="IM2" s="413"/>
      <c r="IN2" s="413"/>
      <c r="IO2" s="413"/>
      <c r="IP2" s="413"/>
      <c r="IQ2" s="413"/>
      <c r="IR2" s="413"/>
      <c r="IS2" s="413"/>
      <c r="IT2" s="413"/>
      <c r="IU2" s="413"/>
      <c r="IV2" s="413"/>
      <c r="IW2" s="413"/>
      <c r="IX2" s="413"/>
      <c r="IY2" s="413"/>
      <c r="IZ2" s="413"/>
      <c r="JA2" s="413"/>
      <c r="JB2" s="413"/>
      <c r="JC2" s="413"/>
      <c r="JD2" s="413"/>
      <c r="JE2" s="413"/>
      <c r="JF2" s="413"/>
      <c r="JG2" s="413"/>
      <c r="JH2" s="413"/>
      <c r="JI2" s="413"/>
      <c r="JJ2" s="413"/>
      <c r="JK2" s="413"/>
      <c r="JL2" s="413"/>
      <c r="JM2" s="413"/>
      <c r="JN2" s="413"/>
      <c r="JO2" s="413"/>
      <c r="JP2" s="413"/>
      <c r="JQ2" s="413"/>
      <c r="JR2" s="413"/>
      <c r="JS2" s="413"/>
      <c r="JT2" s="413"/>
      <c r="JU2" s="413"/>
      <c r="JV2" s="413"/>
      <c r="JW2" s="413"/>
      <c r="JX2" s="413"/>
      <c r="JY2" s="413"/>
      <c r="JZ2" s="413"/>
      <c r="KA2" s="413"/>
      <c r="KB2" s="413"/>
      <c r="KC2" s="413"/>
      <c r="KD2" s="413"/>
      <c r="KE2" s="413"/>
      <c r="KF2" s="413"/>
      <c r="KG2" s="413"/>
      <c r="KH2" s="413"/>
      <c r="KI2" s="413"/>
      <c r="KJ2" s="413"/>
      <c r="KK2" s="413"/>
      <c r="KL2" s="413"/>
      <c r="KM2" s="413"/>
      <c r="KN2" s="413"/>
      <c r="KO2" s="413"/>
      <c r="KP2" s="413"/>
      <c r="KQ2" s="413"/>
      <c r="KR2" s="413"/>
      <c r="KS2" s="413"/>
      <c r="KT2" s="413"/>
      <c r="KU2" s="413"/>
      <c r="KV2" s="413"/>
      <c r="KW2" s="413"/>
      <c r="KX2" s="413"/>
      <c r="KY2" s="413"/>
      <c r="KZ2" s="413"/>
      <c r="LA2" s="413"/>
      <c r="LB2" s="413"/>
      <c r="LC2" s="413"/>
      <c r="LD2" s="413"/>
      <c r="LE2" s="413"/>
      <c r="LF2" s="413"/>
      <c r="LG2" s="413"/>
      <c r="LH2" s="413"/>
      <c r="LI2" s="413"/>
      <c r="LJ2" s="413"/>
      <c r="LK2" s="413"/>
      <c r="LL2" s="413"/>
      <c r="LM2" s="413"/>
      <c r="LN2" s="413"/>
      <c r="LO2" s="413"/>
      <c r="LP2" s="413"/>
      <c r="LQ2" s="413"/>
      <c r="LR2" s="413"/>
      <c r="LS2" s="413"/>
      <c r="LT2" s="413"/>
      <c r="LU2" s="413"/>
      <c r="LV2" s="413"/>
      <c r="LW2" s="413"/>
      <c r="LX2" s="413"/>
      <c r="LY2" s="413"/>
      <c r="LZ2" s="413"/>
      <c r="MA2" s="413"/>
      <c r="MB2" s="413"/>
      <c r="MC2" s="413"/>
      <c r="MD2" s="413"/>
      <c r="ME2" s="413"/>
      <c r="MF2" s="413"/>
      <c r="MG2" s="413"/>
      <c r="MH2" s="413"/>
      <c r="MI2" s="413"/>
      <c r="MJ2" s="413"/>
      <c r="MK2" s="413"/>
      <c r="ML2" s="413"/>
      <c r="MM2" s="413"/>
      <c r="MN2" s="413"/>
      <c r="MO2" s="413"/>
      <c r="MP2" s="413"/>
      <c r="MQ2" s="413"/>
      <c r="MR2" s="413"/>
      <c r="MS2" s="413"/>
      <c r="MT2" s="413"/>
      <c r="MU2" s="413"/>
      <c r="MV2" s="413"/>
      <c r="MW2" s="413"/>
      <c r="MX2" s="413"/>
      <c r="MY2" s="413"/>
      <c r="MZ2" s="413"/>
      <c r="NA2" s="413"/>
      <c r="NB2" s="413"/>
      <c r="NC2" s="413"/>
      <c r="ND2" s="413"/>
      <c r="NE2" s="413"/>
      <c r="NF2" s="413"/>
      <c r="NG2" s="413"/>
      <c r="NH2" s="413"/>
      <c r="NI2" s="413"/>
      <c r="NJ2" s="413"/>
      <c r="NK2" s="413"/>
      <c r="NL2" s="413"/>
      <c r="NM2" s="413"/>
      <c r="NN2" s="413"/>
      <c r="NO2" s="413"/>
      <c r="NP2" s="413"/>
      <c r="NQ2" s="413"/>
      <c r="NR2" s="413"/>
      <c r="NS2" s="413"/>
      <c r="NT2" s="413"/>
      <c r="NU2" s="413"/>
      <c r="NV2" s="413"/>
      <c r="NW2" s="413"/>
      <c r="NX2" s="413"/>
      <c r="NY2" s="413"/>
      <c r="NZ2" s="413"/>
      <c r="OA2" s="413"/>
      <c r="OB2" s="413"/>
      <c r="OC2" s="413"/>
      <c r="OD2" s="413"/>
      <c r="OE2" s="413"/>
      <c r="OF2" s="413"/>
      <c r="OG2" s="413"/>
      <c r="OH2" s="413"/>
      <c r="OI2" s="413"/>
      <c r="OJ2" s="413"/>
      <c r="OK2" s="413"/>
      <c r="OL2" s="413"/>
      <c r="OM2" s="413"/>
      <c r="ON2" s="413"/>
      <c r="OO2" s="413"/>
      <c r="OP2" s="413"/>
      <c r="OQ2" s="413"/>
      <c r="OR2" s="413"/>
      <c r="OS2" s="413"/>
      <c r="OT2" s="413"/>
      <c r="OU2" s="413"/>
      <c r="OV2" s="413"/>
      <c r="OW2" s="413"/>
      <c r="OX2" s="413"/>
      <c r="OY2" s="413"/>
      <c r="OZ2" s="413"/>
      <c r="PA2" s="413"/>
      <c r="PB2" s="413"/>
      <c r="PC2" s="413"/>
      <c r="PD2" s="413"/>
      <c r="PE2" s="413"/>
      <c r="PF2" s="413"/>
      <c r="PG2" s="413"/>
      <c r="PH2" s="413"/>
      <c r="PI2" s="413"/>
      <c r="PJ2" s="413"/>
      <c r="PK2" s="413"/>
      <c r="PL2" s="413"/>
      <c r="PM2" s="413"/>
      <c r="PN2" s="413"/>
      <c r="PO2" s="413"/>
      <c r="PP2" s="413"/>
      <c r="PQ2" s="413"/>
      <c r="PR2" s="413"/>
      <c r="PS2" s="413"/>
      <c r="PT2" s="413"/>
      <c r="PU2" s="413"/>
      <c r="PV2" s="413"/>
      <c r="PW2" s="413"/>
      <c r="PX2" s="413"/>
      <c r="PY2" s="413"/>
      <c r="PZ2" s="413"/>
      <c r="QA2" s="413"/>
      <c r="QB2" s="413"/>
      <c r="QC2" s="413"/>
      <c r="QD2" s="413"/>
      <c r="QE2" s="413"/>
      <c r="QF2" s="413"/>
      <c r="QG2" s="413"/>
      <c r="QH2" s="413"/>
      <c r="QI2" s="413"/>
      <c r="QJ2" s="413"/>
      <c r="QK2" s="413"/>
      <c r="QL2" s="413"/>
      <c r="QM2" s="413"/>
      <c r="QN2" s="413"/>
      <c r="QO2" s="413"/>
      <c r="QP2" s="413"/>
      <c r="QQ2" s="413"/>
      <c r="QR2" s="413"/>
      <c r="QS2" s="413"/>
      <c r="QT2" s="413"/>
      <c r="QU2" s="413"/>
      <c r="QV2" s="413"/>
      <c r="QW2" s="413"/>
      <c r="QX2" s="413"/>
      <c r="QY2" s="413"/>
      <c r="QZ2" s="413"/>
      <c r="RA2" s="413"/>
      <c r="RB2" s="413"/>
      <c r="RC2" s="413"/>
      <c r="RD2" s="413"/>
      <c r="RE2" s="413"/>
      <c r="RF2" s="413"/>
      <c r="RG2" s="413"/>
      <c r="RH2" s="413"/>
      <c r="RI2" s="413"/>
      <c r="RJ2" s="413"/>
      <c r="RK2" s="413"/>
      <c r="RL2" s="413"/>
      <c r="RM2" s="413"/>
      <c r="RN2" s="413"/>
      <c r="RO2" s="413"/>
      <c r="RP2" s="413"/>
      <c r="RQ2" s="413"/>
      <c r="RR2" s="413"/>
      <c r="RS2" s="413"/>
      <c r="RT2" s="413"/>
      <c r="RU2" s="413"/>
      <c r="RV2" s="413"/>
      <c r="RW2" s="413"/>
      <c r="RX2" s="413"/>
      <c r="RY2" s="413"/>
      <c r="RZ2" s="413"/>
      <c r="SA2" s="413"/>
      <c r="SB2" s="413"/>
      <c r="SC2" s="413"/>
      <c r="SD2" s="413"/>
      <c r="SE2" s="413"/>
      <c r="SF2" s="413"/>
      <c r="SG2" s="413"/>
      <c r="SH2" s="413"/>
      <c r="SI2" s="413"/>
      <c r="SJ2" s="413"/>
      <c r="SK2" s="413"/>
      <c r="SL2" s="413"/>
      <c r="SM2" s="413"/>
      <c r="SN2" s="413"/>
      <c r="SO2" s="413"/>
      <c r="SP2" s="413"/>
      <c r="SQ2" s="413"/>
      <c r="SR2" s="413"/>
      <c r="SS2" s="413"/>
      <c r="ST2" s="413"/>
      <c r="SU2" s="413"/>
      <c r="SV2" s="413"/>
      <c r="SW2" s="413"/>
      <c r="SX2" s="413"/>
      <c r="SY2" s="413"/>
      <c r="SZ2" s="413"/>
      <c r="TA2" s="413"/>
      <c r="TB2" s="413"/>
      <c r="TC2" s="413"/>
      <c r="TD2" s="413"/>
      <c r="TE2" s="413"/>
      <c r="TF2" s="413"/>
      <c r="TG2" s="413"/>
      <c r="TH2" s="413"/>
      <c r="TI2" s="413"/>
      <c r="TJ2" s="413"/>
      <c r="TK2" s="413"/>
      <c r="TL2" s="413"/>
      <c r="TM2" s="413"/>
      <c r="TN2" s="413"/>
      <c r="TO2" s="413"/>
      <c r="TP2" s="413"/>
      <c r="TQ2" s="413"/>
      <c r="TR2" s="413"/>
      <c r="TS2" s="413"/>
      <c r="TT2" s="413"/>
      <c r="TU2" s="413"/>
      <c r="TV2" s="413"/>
      <c r="TW2" s="413"/>
      <c r="TX2" s="413"/>
      <c r="TY2" s="413"/>
      <c r="TZ2" s="413"/>
      <c r="UA2" s="413"/>
      <c r="UB2" s="413"/>
      <c r="UC2" s="413"/>
      <c r="UD2" s="413"/>
      <c r="UE2" s="413"/>
      <c r="UF2" s="413"/>
      <c r="UG2" s="413"/>
      <c r="UH2" s="413"/>
      <c r="UI2" s="413"/>
      <c r="UJ2" s="413"/>
      <c r="UK2" s="413"/>
      <c r="UL2" s="413"/>
      <c r="UM2" s="413"/>
      <c r="UN2" s="413"/>
      <c r="UO2" s="413"/>
      <c r="UP2" s="413"/>
      <c r="UQ2" s="413"/>
      <c r="UR2" s="413"/>
      <c r="US2" s="413"/>
      <c r="UT2" s="413"/>
      <c r="UU2" s="413"/>
      <c r="UV2" s="413"/>
      <c r="UW2" s="413"/>
      <c r="UX2" s="413"/>
      <c r="UY2" s="413"/>
      <c r="UZ2" s="413"/>
      <c r="VA2" s="413"/>
      <c r="VB2" s="413"/>
      <c r="VC2" s="413"/>
      <c r="VD2" s="413"/>
      <c r="VE2" s="413"/>
      <c r="VF2" s="413"/>
      <c r="VG2" s="413"/>
      <c r="VH2" s="413"/>
      <c r="VI2" s="413"/>
      <c r="VJ2" s="413"/>
      <c r="VK2" s="413"/>
      <c r="VL2" s="413"/>
      <c r="VM2" s="413"/>
      <c r="VN2" s="413"/>
      <c r="VO2" s="413"/>
      <c r="VP2" s="413"/>
      <c r="VQ2" s="413"/>
      <c r="VR2" s="413"/>
      <c r="VS2" s="413"/>
      <c r="VT2" s="413"/>
      <c r="VU2" s="413"/>
      <c r="VV2" s="413"/>
      <c r="VW2" s="413"/>
      <c r="VX2" s="413"/>
      <c r="VY2" s="413"/>
      <c r="VZ2" s="413"/>
      <c r="WA2" s="413"/>
      <c r="WB2" s="413"/>
      <c r="WC2" s="413"/>
      <c r="WD2" s="413"/>
      <c r="WE2" s="413"/>
      <c r="WF2" s="413"/>
      <c r="WG2" s="413"/>
      <c r="WH2" s="413"/>
      <c r="WI2" s="413"/>
      <c r="WJ2" s="413"/>
      <c r="WK2" s="413"/>
      <c r="WL2" s="413"/>
      <c r="WM2" s="413"/>
      <c r="WN2" s="413"/>
      <c r="WO2" s="413"/>
      <c r="WP2" s="413"/>
      <c r="WQ2" s="413"/>
      <c r="WR2" s="413"/>
      <c r="WS2" s="413"/>
      <c r="WT2" s="413"/>
      <c r="WU2" s="413"/>
      <c r="WV2" s="413"/>
      <c r="WW2" s="413"/>
      <c r="WX2" s="413"/>
      <c r="WY2" s="413"/>
      <c r="WZ2" s="413"/>
      <c r="XA2" s="413"/>
      <c r="XB2" s="413"/>
      <c r="XC2" s="413"/>
      <c r="XD2" s="413"/>
      <c r="XE2" s="413"/>
      <c r="XF2" s="413"/>
      <c r="XG2" s="413"/>
      <c r="XH2" s="413"/>
      <c r="XI2" s="413"/>
      <c r="XJ2" s="413"/>
      <c r="XK2" s="413"/>
      <c r="XL2" s="413"/>
      <c r="XM2" s="413"/>
      <c r="XN2" s="413"/>
      <c r="XO2" s="413"/>
      <c r="XP2" s="413"/>
      <c r="XQ2" s="413"/>
      <c r="XR2" s="413"/>
      <c r="XS2" s="413"/>
      <c r="XT2" s="413"/>
      <c r="XU2" s="413"/>
      <c r="XV2" s="413"/>
      <c r="XW2" s="413"/>
      <c r="XX2" s="413"/>
      <c r="XY2" s="413"/>
      <c r="XZ2" s="413"/>
      <c r="YA2" s="413"/>
      <c r="YB2" s="413"/>
      <c r="YC2" s="413"/>
      <c r="YD2" s="413"/>
      <c r="YE2" s="413"/>
      <c r="YF2" s="413"/>
      <c r="YG2" s="413"/>
      <c r="YH2" s="413"/>
      <c r="YI2" s="413"/>
      <c r="YJ2" s="413"/>
      <c r="YK2" s="413"/>
      <c r="YL2" s="413"/>
      <c r="YM2" s="413"/>
      <c r="YN2" s="413"/>
      <c r="YO2" s="413"/>
      <c r="YP2" s="413"/>
      <c r="YQ2" s="413"/>
      <c r="YR2" s="413"/>
      <c r="YS2" s="413"/>
      <c r="YT2" s="413"/>
      <c r="YU2" s="413"/>
      <c r="YV2" s="413"/>
      <c r="YW2" s="413"/>
      <c r="YX2" s="413"/>
      <c r="YY2" s="413"/>
      <c r="YZ2" s="413"/>
      <c r="ZA2" s="413"/>
      <c r="ZB2" s="413"/>
      <c r="ZC2" s="413"/>
      <c r="ZD2" s="413"/>
      <c r="ZE2" s="413"/>
      <c r="ZF2" s="413"/>
      <c r="ZG2" s="413"/>
      <c r="ZH2" s="413"/>
      <c r="ZI2" s="413"/>
      <c r="ZJ2" s="413"/>
      <c r="ZK2" s="413"/>
      <c r="ZL2" s="413"/>
      <c r="ZM2" s="413"/>
      <c r="ZN2" s="413"/>
      <c r="ZO2" s="413"/>
      <c r="ZP2" s="413"/>
      <c r="ZQ2" s="413"/>
      <c r="ZR2" s="413"/>
      <c r="ZS2" s="413"/>
      <c r="ZT2" s="413"/>
      <c r="ZU2" s="413"/>
      <c r="ZV2" s="413"/>
      <c r="ZW2" s="413"/>
      <c r="ZX2" s="413"/>
      <c r="ZY2" s="413"/>
      <c r="ZZ2" s="413"/>
      <c r="AAA2" s="413"/>
      <c r="AAB2" s="413"/>
      <c r="AAC2" s="413"/>
      <c r="AAD2" s="413"/>
      <c r="AAE2" s="413"/>
      <c r="AAF2" s="413"/>
      <c r="AAG2" s="413"/>
      <c r="AAH2" s="413"/>
      <c r="AAI2" s="413"/>
      <c r="AAJ2" s="413"/>
      <c r="AAK2" s="413"/>
      <c r="AAL2" s="413"/>
      <c r="AAM2" s="413"/>
      <c r="AAN2" s="413"/>
      <c r="AAO2" s="413"/>
      <c r="AAP2" s="413"/>
      <c r="AAQ2" s="413"/>
      <c r="AAR2" s="413"/>
      <c r="AAS2" s="413"/>
      <c r="AAT2" s="413"/>
      <c r="AAU2" s="413"/>
      <c r="AAV2" s="413"/>
      <c r="AAW2" s="413"/>
      <c r="AAX2" s="413"/>
      <c r="AAY2" s="413"/>
      <c r="AAZ2" s="413"/>
      <c r="ABA2" s="413"/>
      <c r="ABB2" s="413"/>
      <c r="ABC2" s="413"/>
      <c r="ABD2" s="413"/>
      <c r="ABE2" s="413"/>
      <c r="ABF2" s="413"/>
      <c r="ABG2" s="413"/>
      <c r="ABH2" s="413"/>
      <c r="ABI2" s="413"/>
      <c r="ABJ2" s="413"/>
      <c r="ABK2" s="413"/>
      <c r="ABL2" s="413"/>
      <c r="ABM2" s="413"/>
      <c r="ABN2" s="413"/>
      <c r="ABO2" s="413"/>
      <c r="ABP2" s="413"/>
      <c r="ABQ2" s="413"/>
      <c r="ABR2" s="413"/>
      <c r="ABS2" s="413"/>
      <c r="ABT2" s="413"/>
      <c r="ABU2" s="413"/>
      <c r="ABV2" s="413"/>
      <c r="ABW2" s="413"/>
      <c r="ABX2" s="413"/>
      <c r="ABY2" s="413"/>
      <c r="ABZ2" s="413"/>
      <c r="ACA2" s="413"/>
      <c r="ACB2" s="413"/>
      <c r="ACC2" s="413"/>
      <c r="ACD2" s="413"/>
      <c r="ACE2" s="413"/>
      <c r="ACF2" s="413"/>
      <c r="ACG2" s="413"/>
      <c r="ACH2" s="413"/>
      <c r="ACI2" s="413"/>
      <c r="ACJ2" s="413"/>
      <c r="ACK2" s="413"/>
      <c r="ACL2" s="413"/>
      <c r="ACM2" s="413"/>
      <c r="ACN2" s="413"/>
      <c r="ACO2" s="413"/>
      <c r="ACP2" s="413"/>
    </row>
    <row r="3" spans="1:770" ht="27.75" customHeight="1">
      <c r="C3" s="57"/>
      <c r="D3" s="414">
        <v>1</v>
      </c>
      <c r="E3" s="414"/>
      <c r="F3" s="414"/>
      <c r="G3" s="414"/>
      <c r="H3" s="414"/>
      <c r="I3" s="414"/>
      <c r="J3" s="414"/>
      <c r="K3" s="414"/>
      <c r="L3" s="414"/>
      <c r="M3" s="414"/>
      <c r="N3" s="414"/>
      <c r="O3" s="414"/>
      <c r="P3" s="414"/>
      <c r="Q3" s="414"/>
      <c r="R3" s="414"/>
      <c r="S3" s="414"/>
      <c r="T3" s="414"/>
      <c r="U3" s="414"/>
      <c r="V3" s="414"/>
      <c r="W3" s="414"/>
      <c r="X3" s="414"/>
      <c r="Y3" s="414"/>
      <c r="Z3" s="414"/>
      <c r="AA3" s="414">
        <v>2</v>
      </c>
      <c r="AB3" s="414"/>
      <c r="AC3" s="414"/>
      <c r="AD3" s="414"/>
      <c r="AE3" s="414"/>
      <c r="AF3" s="414"/>
      <c r="AG3" s="414"/>
      <c r="AH3" s="414"/>
      <c r="AI3" s="414"/>
      <c r="AJ3" s="414"/>
      <c r="AK3" s="414"/>
      <c r="AL3" s="414"/>
      <c r="AM3" s="414"/>
      <c r="AN3" s="414"/>
      <c r="AO3" s="414"/>
      <c r="AP3" s="414"/>
      <c r="AQ3" s="414"/>
      <c r="AR3" s="414"/>
      <c r="AS3" s="414"/>
      <c r="AT3" s="414"/>
      <c r="AU3" s="414"/>
      <c r="AV3" s="414"/>
      <c r="AW3" s="414"/>
      <c r="AX3" s="415"/>
      <c r="AY3" s="416">
        <v>3</v>
      </c>
      <c r="AZ3" s="417"/>
      <c r="BA3" s="417"/>
      <c r="BB3" s="417"/>
      <c r="BC3" s="417"/>
      <c r="BD3" s="417"/>
      <c r="BE3" s="417"/>
      <c r="BF3" s="417"/>
      <c r="BG3" s="417"/>
      <c r="BH3" s="417"/>
      <c r="BI3" s="417"/>
      <c r="BJ3" s="417"/>
      <c r="BK3" s="417"/>
      <c r="BL3" s="417"/>
      <c r="BM3" s="417"/>
      <c r="BN3" s="417"/>
      <c r="BO3" s="417"/>
      <c r="BP3" s="417"/>
      <c r="BQ3" s="417"/>
      <c r="BR3" s="417"/>
      <c r="BS3" s="417"/>
      <c r="BT3" s="417"/>
      <c r="BU3" s="417"/>
      <c r="BV3" s="418"/>
      <c r="BW3" s="416">
        <v>4</v>
      </c>
      <c r="BX3" s="417"/>
      <c r="BY3" s="417"/>
      <c r="BZ3" s="417"/>
      <c r="CA3" s="417"/>
      <c r="CB3" s="417"/>
      <c r="CC3" s="417"/>
      <c r="CD3" s="417"/>
      <c r="CE3" s="417"/>
      <c r="CF3" s="417"/>
      <c r="CG3" s="417"/>
      <c r="CH3" s="417"/>
      <c r="CI3" s="417"/>
      <c r="CJ3" s="417"/>
      <c r="CK3" s="417"/>
      <c r="CL3" s="417"/>
      <c r="CM3" s="417"/>
      <c r="CN3" s="417"/>
      <c r="CO3" s="417"/>
      <c r="CP3" s="417"/>
      <c r="CQ3" s="417"/>
      <c r="CR3" s="417"/>
      <c r="CS3" s="417"/>
      <c r="CT3" s="418"/>
      <c r="CU3" s="416">
        <v>5</v>
      </c>
      <c r="CV3" s="417"/>
      <c r="CW3" s="417"/>
      <c r="CX3" s="417"/>
      <c r="CY3" s="417"/>
      <c r="CZ3" s="417"/>
      <c r="DA3" s="417"/>
      <c r="DB3" s="417"/>
      <c r="DC3" s="417"/>
      <c r="DD3" s="417"/>
      <c r="DE3" s="417"/>
      <c r="DF3" s="417"/>
      <c r="DG3" s="417"/>
      <c r="DH3" s="417"/>
      <c r="DI3" s="417"/>
      <c r="DJ3" s="417"/>
      <c r="DK3" s="417"/>
      <c r="DL3" s="417"/>
      <c r="DM3" s="417"/>
      <c r="DN3" s="417"/>
      <c r="DO3" s="417"/>
      <c r="DP3" s="417"/>
      <c r="DQ3" s="417"/>
      <c r="DR3" s="418"/>
      <c r="DS3" s="416">
        <v>6</v>
      </c>
      <c r="DT3" s="417"/>
      <c r="DU3" s="417"/>
      <c r="DV3" s="417"/>
      <c r="DW3" s="417"/>
      <c r="DX3" s="417"/>
      <c r="DY3" s="417"/>
      <c r="DZ3" s="417"/>
      <c r="EA3" s="417"/>
      <c r="EB3" s="417"/>
      <c r="EC3" s="417"/>
      <c r="ED3" s="417"/>
      <c r="EE3" s="417"/>
      <c r="EF3" s="417"/>
      <c r="EG3" s="417"/>
      <c r="EH3" s="417"/>
      <c r="EI3" s="417"/>
      <c r="EJ3" s="417"/>
      <c r="EK3" s="417"/>
      <c r="EL3" s="417"/>
      <c r="EM3" s="417"/>
      <c r="EN3" s="417"/>
      <c r="EO3" s="417"/>
      <c r="EP3" s="418"/>
      <c r="EQ3" s="416">
        <v>7</v>
      </c>
      <c r="ER3" s="417"/>
      <c r="ES3" s="417"/>
      <c r="ET3" s="417"/>
      <c r="EU3" s="417"/>
      <c r="EV3" s="417"/>
      <c r="EW3" s="417"/>
      <c r="EX3" s="417"/>
      <c r="EY3" s="417"/>
      <c r="EZ3" s="417"/>
      <c r="FA3" s="417"/>
      <c r="FB3" s="417"/>
      <c r="FC3" s="417"/>
      <c r="FD3" s="417"/>
      <c r="FE3" s="417"/>
      <c r="FF3" s="417"/>
      <c r="FG3" s="417"/>
      <c r="FH3" s="417"/>
      <c r="FI3" s="417"/>
      <c r="FJ3" s="417"/>
      <c r="FK3" s="417"/>
      <c r="FL3" s="417"/>
      <c r="FM3" s="417"/>
      <c r="FN3" s="418"/>
      <c r="FO3" s="416">
        <v>8</v>
      </c>
      <c r="FP3" s="417"/>
      <c r="FQ3" s="417"/>
      <c r="FR3" s="417"/>
      <c r="FS3" s="417"/>
      <c r="FT3" s="417"/>
      <c r="FU3" s="417"/>
      <c r="FV3" s="417"/>
      <c r="FW3" s="417"/>
      <c r="FX3" s="417"/>
      <c r="FY3" s="417"/>
      <c r="FZ3" s="417"/>
      <c r="GA3" s="417"/>
      <c r="GB3" s="417"/>
      <c r="GC3" s="417"/>
      <c r="GD3" s="417"/>
      <c r="GE3" s="417"/>
      <c r="GF3" s="417"/>
      <c r="GG3" s="417"/>
      <c r="GH3" s="417"/>
      <c r="GI3" s="417"/>
      <c r="GJ3" s="417"/>
      <c r="GK3" s="417"/>
      <c r="GL3" s="418"/>
      <c r="GM3" s="416">
        <v>9</v>
      </c>
      <c r="GN3" s="417"/>
      <c r="GO3" s="417"/>
      <c r="GP3" s="417"/>
      <c r="GQ3" s="417"/>
      <c r="GR3" s="417"/>
      <c r="GS3" s="417"/>
      <c r="GT3" s="417"/>
      <c r="GU3" s="417"/>
      <c r="GV3" s="417"/>
      <c r="GW3" s="417"/>
      <c r="GX3" s="417"/>
      <c r="GY3" s="417"/>
      <c r="GZ3" s="417"/>
      <c r="HA3" s="417"/>
      <c r="HB3" s="417"/>
      <c r="HC3" s="417"/>
      <c r="HD3" s="417"/>
      <c r="HE3" s="417"/>
      <c r="HF3" s="417"/>
      <c r="HG3" s="417"/>
      <c r="HH3" s="417"/>
      <c r="HI3" s="417"/>
      <c r="HJ3" s="418"/>
      <c r="HK3" s="416">
        <v>10</v>
      </c>
      <c r="HL3" s="417"/>
      <c r="HM3" s="417"/>
      <c r="HN3" s="417"/>
      <c r="HO3" s="417"/>
      <c r="HP3" s="417"/>
      <c r="HQ3" s="417"/>
      <c r="HR3" s="417"/>
      <c r="HS3" s="417"/>
      <c r="HT3" s="417"/>
      <c r="HU3" s="417"/>
      <c r="HV3" s="417"/>
      <c r="HW3" s="417"/>
      <c r="HX3" s="417"/>
      <c r="HY3" s="417"/>
      <c r="HZ3" s="417"/>
      <c r="IA3" s="417"/>
      <c r="IB3" s="417"/>
      <c r="IC3" s="417"/>
      <c r="ID3" s="417"/>
      <c r="IE3" s="417"/>
      <c r="IF3" s="417"/>
      <c r="IG3" s="417"/>
      <c r="IH3" s="418"/>
      <c r="II3" s="416">
        <v>11</v>
      </c>
      <c r="IJ3" s="417"/>
      <c r="IK3" s="417"/>
      <c r="IL3" s="417"/>
      <c r="IM3" s="417"/>
      <c r="IN3" s="417"/>
      <c r="IO3" s="417"/>
      <c r="IP3" s="417"/>
      <c r="IQ3" s="417"/>
      <c r="IR3" s="417"/>
      <c r="IS3" s="417"/>
      <c r="IT3" s="417"/>
      <c r="IU3" s="417"/>
      <c r="IV3" s="417"/>
      <c r="IW3" s="417"/>
      <c r="IX3" s="417"/>
      <c r="IY3" s="417"/>
      <c r="IZ3" s="417"/>
      <c r="JA3" s="417"/>
      <c r="JB3" s="417"/>
      <c r="JC3" s="417"/>
      <c r="JD3" s="417"/>
      <c r="JE3" s="417"/>
      <c r="JF3" s="418"/>
      <c r="JG3" s="416">
        <v>12</v>
      </c>
      <c r="JH3" s="417"/>
      <c r="JI3" s="417"/>
      <c r="JJ3" s="417"/>
      <c r="JK3" s="417"/>
      <c r="JL3" s="417"/>
      <c r="JM3" s="417"/>
      <c r="JN3" s="417"/>
      <c r="JO3" s="417"/>
      <c r="JP3" s="417"/>
      <c r="JQ3" s="417"/>
      <c r="JR3" s="417"/>
      <c r="JS3" s="417"/>
      <c r="JT3" s="417"/>
      <c r="JU3" s="417"/>
      <c r="JV3" s="417"/>
      <c r="JW3" s="417"/>
      <c r="JX3" s="417"/>
      <c r="JY3" s="417"/>
      <c r="JZ3" s="417"/>
      <c r="KA3" s="417"/>
      <c r="KB3" s="417"/>
      <c r="KC3" s="417"/>
      <c r="KD3" s="418"/>
      <c r="KE3" s="416">
        <v>13</v>
      </c>
      <c r="KF3" s="417"/>
      <c r="KG3" s="417"/>
      <c r="KH3" s="417"/>
      <c r="KI3" s="417"/>
      <c r="KJ3" s="417"/>
      <c r="KK3" s="417"/>
      <c r="KL3" s="417"/>
      <c r="KM3" s="417"/>
      <c r="KN3" s="417"/>
      <c r="KO3" s="417"/>
      <c r="KP3" s="417"/>
      <c r="KQ3" s="417"/>
      <c r="KR3" s="417"/>
      <c r="KS3" s="417"/>
      <c r="KT3" s="417"/>
      <c r="KU3" s="417"/>
      <c r="KV3" s="417"/>
      <c r="KW3" s="417"/>
      <c r="KX3" s="417"/>
      <c r="KY3" s="417"/>
      <c r="KZ3" s="417"/>
      <c r="LA3" s="417"/>
      <c r="LB3" s="418"/>
      <c r="LC3" s="416">
        <v>14</v>
      </c>
      <c r="LD3" s="417"/>
      <c r="LE3" s="417"/>
      <c r="LF3" s="417"/>
      <c r="LG3" s="417"/>
      <c r="LH3" s="417"/>
      <c r="LI3" s="417"/>
      <c r="LJ3" s="417"/>
      <c r="LK3" s="417"/>
      <c r="LL3" s="417"/>
      <c r="LM3" s="417"/>
      <c r="LN3" s="417"/>
      <c r="LO3" s="417"/>
      <c r="LP3" s="417"/>
      <c r="LQ3" s="417"/>
      <c r="LR3" s="417"/>
      <c r="LS3" s="417"/>
      <c r="LT3" s="417"/>
      <c r="LU3" s="417"/>
      <c r="LV3" s="417"/>
      <c r="LW3" s="417"/>
      <c r="LX3" s="417"/>
      <c r="LY3" s="417"/>
      <c r="LZ3" s="418"/>
      <c r="MA3" s="416">
        <v>15</v>
      </c>
      <c r="MB3" s="417"/>
      <c r="MC3" s="417"/>
      <c r="MD3" s="417"/>
      <c r="ME3" s="417"/>
      <c r="MF3" s="417"/>
      <c r="MG3" s="417"/>
      <c r="MH3" s="417"/>
      <c r="MI3" s="417"/>
      <c r="MJ3" s="417"/>
      <c r="MK3" s="417"/>
      <c r="ML3" s="417"/>
      <c r="MM3" s="417"/>
      <c r="MN3" s="417"/>
      <c r="MO3" s="417"/>
      <c r="MP3" s="417"/>
      <c r="MQ3" s="417"/>
      <c r="MR3" s="417"/>
      <c r="MS3" s="417"/>
      <c r="MT3" s="417"/>
      <c r="MU3" s="417"/>
      <c r="MV3" s="417"/>
      <c r="MW3" s="417"/>
      <c r="MX3" s="418"/>
      <c r="MY3" s="416">
        <v>16</v>
      </c>
      <c r="MZ3" s="417"/>
      <c r="NA3" s="417"/>
      <c r="NB3" s="417"/>
      <c r="NC3" s="417"/>
      <c r="ND3" s="417"/>
      <c r="NE3" s="417"/>
      <c r="NF3" s="417"/>
      <c r="NG3" s="417"/>
      <c r="NH3" s="417"/>
      <c r="NI3" s="417"/>
      <c r="NJ3" s="417"/>
      <c r="NK3" s="417"/>
      <c r="NL3" s="417"/>
      <c r="NM3" s="417"/>
      <c r="NN3" s="417"/>
      <c r="NO3" s="417"/>
      <c r="NP3" s="417"/>
      <c r="NQ3" s="417"/>
      <c r="NR3" s="417"/>
      <c r="NS3" s="417"/>
      <c r="NT3" s="417"/>
      <c r="NU3" s="417"/>
      <c r="NV3" s="418"/>
      <c r="NW3" s="416">
        <v>17</v>
      </c>
      <c r="NX3" s="417"/>
      <c r="NY3" s="417"/>
      <c r="NZ3" s="417"/>
      <c r="OA3" s="417"/>
      <c r="OB3" s="417"/>
      <c r="OC3" s="417"/>
      <c r="OD3" s="417"/>
      <c r="OE3" s="417"/>
      <c r="OF3" s="417"/>
      <c r="OG3" s="417"/>
      <c r="OH3" s="417"/>
      <c r="OI3" s="417"/>
      <c r="OJ3" s="417"/>
      <c r="OK3" s="417"/>
      <c r="OL3" s="417"/>
      <c r="OM3" s="417"/>
      <c r="ON3" s="417"/>
      <c r="OO3" s="417"/>
      <c r="OP3" s="417"/>
      <c r="OQ3" s="417"/>
      <c r="OR3" s="417"/>
      <c r="OS3" s="417"/>
      <c r="OT3" s="418"/>
      <c r="OU3" s="416">
        <v>18</v>
      </c>
      <c r="OV3" s="417"/>
      <c r="OW3" s="417"/>
      <c r="OX3" s="417"/>
      <c r="OY3" s="417"/>
      <c r="OZ3" s="417"/>
      <c r="PA3" s="417"/>
      <c r="PB3" s="417"/>
      <c r="PC3" s="417"/>
      <c r="PD3" s="417"/>
      <c r="PE3" s="417"/>
      <c r="PF3" s="417"/>
      <c r="PG3" s="417"/>
      <c r="PH3" s="417"/>
      <c r="PI3" s="417"/>
      <c r="PJ3" s="417"/>
      <c r="PK3" s="417"/>
      <c r="PL3" s="417"/>
      <c r="PM3" s="417"/>
      <c r="PN3" s="417"/>
      <c r="PO3" s="417"/>
      <c r="PP3" s="417"/>
      <c r="PQ3" s="417"/>
      <c r="PR3" s="418"/>
      <c r="PS3" s="416">
        <v>19</v>
      </c>
      <c r="PT3" s="417"/>
      <c r="PU3" s="417"/>
      <c r="PV3" s="417"/>
      <c r="PW3" s="417"/>
      <c r="PX3" s="417"/>
      <c r="PY3" s="417"/>
      <c r="PZ3" s="417"/>
      <c r="QA3" s="417"/>
      <c r="QB3" s="417"/>
      <c r="QC3" s="417"/>
      <c r="QD3" s="417"/>
      <c r="QE3" s="417"/>
      <c r="QF3" s="417"/>
      <c r="QG3" s="417"/>
      <c r="QH3" s="417"/>
      <c r="QI3" s="417"/>
      <c r="QJ3" s="417"/>
      <c r="QK3" s="417"/>
      <c r="QL3" s="417"/>
      <c r="QM3" s="417"/>
      <c r="QN3" s="417"/>
      <c r="QO3" s="417"/>
      <c r="QP3" s="418"/>
      <c r="QQ3" s="416">
        <v>20</v>
      </c>
      <c r="QR3" s="417"/>
      <c r="QS3" s="417"/>
      <c r="QT3" s="417"/>
      <c r="QU3" s="417"/>
      <c r="QV3" s="417"/>
      <c r="QW3" s="417"/>
      <c r="QX3" s="417"/>
      <c r="QY3" s="417"/>
      <c r="QZ3" s="417"/>
      <c r="RA3" s="417"/>
      <c r="RB3" s="417"/>
      <c r="RC3" s="417"/>
      <c r="RD3" s="417"/>
      <c r="RE3" s="417"/>
      <c r="RF3" s="417"/>
      <c r="RG3" s="417"/>
      <c r="RH3" s="417"/>
      <c r="RI3" s="417"/>
      <c r="RJ3" s="417"/>
      <c r="RK3" s="417"/>
      <c r="RL3" s="417"/>
      <c r="RM3" s="417"/>
      <c r="RN3" s="418"/>
      <c r="RO3" s="416">
        <v>21</v>
      </c>
      <c r="RP3" s="417"/>
      <c r="RQ3" s="417"/>
      <c r="RR3" s="417"/>
      <c r="RS3" s="417"/>
      <c r="RT3" s="417"/>
      <c r="RU3" s="417"/>
      <c r="RV3" s="417"/>
      <c r="RW3" s="417"/>
      <c r="RX3" s="417"/>
      <c r="RY3" s="417"/>
      <c r="RZ3" s="417"/>
      <c r="SA3" s="417"/>
      <c r="SB3" s="417"/>
      <c r="SC3" s="417"/>
      <c r="SD3" s="417"/>
      <c r="SE3" s="417"/>
      <c r="SF3" s="417"/>
      <c r="SG3" s="417"/>
      <c r="SH3" s="417"/>
      <c r="SI3" s="417"/>
      <c r="SJ3" s="417"/>
      <c r="SK3" s="417"/>
      <c r="SL3" s="418"/>
      <c r="SM3" s="416">
        <v>22</v>
      </c>
      <c r="SN3" s="417"/>
      <c r="SO3" s="417"/>
      <c r="SP3" s="417"/>
      <c r="SQ3" s="417"/>
      <c r="SR3" s="417"/>
      <c r="SS3" s="417"/>
      <c r="ST3" s="417"/>
      <c r="SU3" s="417"/>
      <c r="SV3" s="417"/>
      <c r="SW3" s="417"/>
      <c r="SX3" s="417"/>
      <c r="SY3" s="417"/>
      <c r="SZ3" s="417"/>
      <c r="TA3" s="417"/>
      <c r="TB3" s="417"/>
      <c r="TC3" s="417"/>
      <c r="TD3" s="417"/>
      <c r="TE3" s="417"/>
      <c r="TF3" s="417"/>
      <c r="TG3" s="417"/>
      <c r="TH3" s="417"/>
      <c r="TI3" s="417"/>
      <c r="TJ3" s="418"/>
      <c r="TK3" s="416">
        <v>23</v>
      </c>
      <c r="TL3" s="417"/>
      <c r="TM3" s="417"/>
      <c r="TN3" s="417"/>
      <c r="TO3" s="417"/>
      <c r="TP3" s="417"/>
      <c r="TQ3" s="417"/>
      <c r="TR3" s="417"/>
      <c r="TS3" s="417"/>
      <c r="TT3" s="417"/>
      <c r="TU3" s="417"/>
      <c r="TV3" s="417"/>
      <c r="TW3" s="417"/>
      <c r="TX3" s="417"/>
      <c r="TY3" s="417"/>
      <c r="TZ3" s="417"/>
      <c r="UA3" s="417"/>
      <c r="UB3" s="417"/>
      <c r="UC3" s="417"/>
      <c r="UD3" s="417"/>
      <c r="UE3" s="417"/>
      <c r="UF3" s="417"/>
      <c r="UG3" s="417"/>
      <c r="UH3" s="418"/>
      <c r="UI3" s="416">
        <v>24</v>
      </c>
      <c r="UJ3" s="417"/>
      <c r="UK3" s="417"/>
      <c r="UL3" s="417"/>
      <c r="UM3" s="417"/>
      <c r="UN3" s="417"/>
      <c r="UO3" s="417"/>
      <c r="UP3" s="417"/>
      <c r="UQ3" s="417"/>
      <c r="UR3" s="417"/>
      <c r="US3" s="417"/>
      <c r="UT3" s="417"/>
      <c r="UU3" s="417"/>
      <c r="UV3" s="417"/>
      <c r="UW3" s="417"/>
      <c r="UX3" s="417"/>
      <c r="UY3" s="417"/>
      <c r="UZ3" s="417"/>
      <c r="VA3" s="417"/>
      <c r="VB3" s="417"/>
      <c r="VC3" s="417"/>
      <c r="VD3" s="417"/>
      <c r="VE3" s="417"/>
      <c r="VF3" s="418"/>
      <c r="VG3" s="416">
        <v>25</v>
      </c>
      <c r="VH3" s="417"/>
      <c r="VI3" s="417"/>
      <c r="VJ3" s="417"/>
      <c r="VK3" s="417"/>
      <c r="VL3" s="417"/>
      <c r="VM3" s="417"/>
      <c r="VN3" s="417"/>
      <c r="VO3" s="417"/>
      <c r="VP3" s="417"/>
      <c r="VQ3" s="417"/>
      <c r="VR3" s="417"/>
      <c r="VS3" s="417"/>
      <c r="VT3" s="417"/>
      <c r="VU3" s="417"/>
      <c r="VV3" s="417"/>
      <c r="VW3" s="417"/>
      <c r="VX3" s="417"/>
      <c r="VY3" s="417"/>
      <c r="VZ3" s="417"/>
      <c r="WA3" s="417"/>
      <c r="WB3" s="417"/>
      <c r="WC3" s="417"/>
      <c r="WD3" s="418"/>
      <c r="WE3" s="416">
        <v>26</v>
      </c>
      <c r="WF3" s="417"/>
      <c r="WG3" s="417"/>
      <c r="WH3" s="417"/>
      <c r="WI3" s="417"/>
      <c r="WJ3" s="417"/>
      <c r="WK3" s="417"/>
      <c r="WL3" s="417"/>
      <c r="WM3" s="417"/>
      <c r="WN3" s="417"/>
      <c r="WO3" s="417"/>
      <c r="WP3" s="417"/>
      <c r="WQ3" s="417"/>
      <c r="WR3" s="417"/>
      <c r="WS3" s="417"/>
      <c r="WT3" s="417"/>
      <c r="WU3" s="417"/>
      <c r="WV3" s="417"/>
      <c r="WW3" s="417"/>
      <c r="WX3" s="417"/>
      <c r="WY3" s="417"/>
      <c r="WZ3" s="417"/>
      <c r="XA3" s="417"/>
      <c r="XB3" s="418"/>
      <c r="XC3" s="416">
        <v>27</v>
      </c>
      <c r="XD3" s="417"/>
      <c r="XE3" s="417"/>
      <c r="XF3" s="417"/>
      <c r="XG3" s="417"/>
      <c r="XH3" s="417"/>
      <c r="XI3" s="417"/>
      <c r="XJ3" s="417"/>
      <c r="XK3" s="417"/>
      <c r="XL3" s="417"/>
      <c r="XM3" s="417"/>
      <c r="XN3" s="417"/>
      <c r="XO3" s="417"/>
      <c r="XP3" s="417"/>
      <c r="XQ3" s="417"/>
      <c r="XR3" s="417"/>
      <c r="XS3" s="417"/>
      <c r="XT3" s="417"/>
      <c r="XU3" s="417"/>
      <c r="XV3" s="417"/>
      <c r="XW3" s="417"/>
      <c r="XX3" s="417"/>
      <c r="XY3" s="417"/>
      <c r="XZ3" s="418"/>
      <c r="YA3" s="416">
        <v>28</v>
      </c>
      <c r="YB3" s="417"/>
      <c r="YC3" s="417"/>
      <c r="YD3" s="417"/>
      <c r="YE3" s="417"/>
      <c r="YF3" s="417"/>
      <c r="YG3" s="417"/>
      <c r="YH3" s="417"/>
      <c r="YI3" s="417"/>
      <c r="YJ3" s="417"/>
      <c r="YK3" s="417"/>
      <c r="YL3" s="417"/>
      <c r="YM3" s="417"/>
      <c r="YN3" s="417"/>
      <c r="YO3" s="417"/>
      <c r="YP3" s="417"/>
      <c r="YQ3" s="417"/>
      <c r="YR3" s="417"/>
      <c r="YS3" s="417"/>
      <c r="YT3" s="417"/>
      <c r="YU3" s="417"/>
      <c r="YV3" s="417"/>
      <c r="YW3" s="417"/>
      <c r="YX3" s="418"/>
      <c r="YY3" s="416">
        <v>29</v>
      </c>
      <c r="YZ3" s="417"/>
      <c r="ZA3" s="417"/>
      <c r="ZB3" s="417"/>
      <c r="ZC3" s="417"/>
      <c r="ZD3" s="417"/>
      <c r="ZE3" s="417"/>
      <c r="ZF3" s="417"/>
      <c r="ZG3" s="417"/>
      <c r="ZH3" s="417"/>
      <c r="ZI3" s="417"/>
      <c r="ZJ3" s="417"/>
      <c r="ZK3" s="417"/>
      <c r="ZL3" s="417"/>
      <c r="ZM3" s="417"/>
      <c r="ZN3" s="417"/>
      <c r="ZO3" s="417"/>
      <c r="ZP3" s="417"/>
      <c r="ZQ3" s="417"/>
      <c r="ZR3" s="417"/>
      <c r="ZS3" s="417"/>
      <c r="ZT3" s="417"/>
      <c r="ZU3" s="417"/>
      <c r="ZV3" s="418"/>
      <c r="ZW3" s="416">
        <v>30</v>
      </c>
      <c r="ZX3" s="417"/>
      <c r="ZY3" s="417"/>
      <c r="ZZ3" s="417"/>
      <c r="AAA3" s="417"/>
      <c r="AAB3" s="417"/>
      <c r="AAC3" s="417"/>
      <c r="AAD3" s="417"/>
      <c r="AAE3" s="417"/>
      <c r="AAF3" s="417"/>
      <c r="AAG3" s="417"/>
      <c r="AAH3" s="417"/>
      <c r="AAI3" s="417"/>
      <c r="AAJ3" s="417"/>
      <c r="AAK3" s="417"/>
      <c r="AAL3" s="417"/>
      <c r="AAM3" s="417"/>
      <c r="AAN3" s="417"/>
      <c r="AAO3" s="417"/>
      <c r="AAP3" s="417"/>
      <c r="AAQ3" s="417"/>
      <c r="AAR3" s="417"/>
      <c r="AAS3" s="417"/>
      <c r="AAT3" s="418"/>
      <c r="AAU3" s="416">
        <v>31</v>
      </c>
      <c r="AAV3" s="417"/>
      <c r="AAW3" s="417"/>
      <c r="AAX3" s="417"/>
      <c r="AAY3" s="417"/>
      <c r="AAZ3" s="417"/>
      <c r="ABA3" s="417"/>
      <c r="ABB3" s="417"/>
      <c r="ABC3" s="417"/>
      <c r="ABD3" s="417"/>
      <c r="ABE3" s="417"/>
      <c r="ABF3" s="417"/>
      <c r="ABG3" s="417"/>
      <c r="ABH3" s="417"/>
      <c r="ABI3" s="417"/>
      <c r="ABJ3" s="417"/>
      <c r="ABK3" s="417"/>
      <c r="ABL3" s="417"/>
      <c r="ABM3" s="417"/>
      <c r="ABN3" s="417"/>
      <c r="ABO3" s="417"/>
      <c r="ABP3" s="417"/>
      <c r="ABQ3" s="417"/>
      <c r="ABR3" s="418"/>
      <c r="ABS3" s="416">
        <v>32</v>
      </c>
      <c r="ABT3" s="417"/>
      <c r="ABU3" s="417"/>
      <c r="ABV3" s="417"/>
      <c r="ABW3" s="417"/>
      <c r="ABX3" s="417"/>
      <c r="ABY3" s="417"/>
      <c r="ABZ3" s="417"/>
      <c r="ACA3" s="417"/>
      <c r="ACB3" s="417"/>
      <c r="ACC3" s="417"/>
      <c r="ACD3" s="417"/>
      <c r="ACE3" s="417"/>
      <c r="ACF3" s="417"/>
      <c r="ACG3" s="417"/>
      <c r="ACH3" s="417"/>
      <c r="ACI3" s="417"/>
      <c r="ACJ3" s="417"/>
      <c r="ACK3" s="417"/>
      <c r="ACL3" s="417"/>
      <c r="ACM3" s="417"/>
      <c r="ACN3" s="417"/>
      <c r="ACO3" s="417"/>
      <c r="ACP3" s="418"/>
    </row>
    <row r="4" spans="1:770" ht="52.5" customHeight="1">
      <c r="A4" s="419" t="s">
        <v>81</v>
      </c>
      <c r="B4" s="420"/>
      <c r="C4" s="419" t="s">
        <v>40</v>
      </c>
      <c r="D4" s="423"/>
      <c r="E4" s="423"/>
      <c r="F4" s="423"/>
      <c r="G4" s="423"/>
      <c r="H4" s="423"/>
      <c r="I4" s="423"/>
      <c r="J4" s="423"/>
      <c r="K4" s="423"/>
      <c r="L4" s="423"/>
      <c r="M4" s="423"/>
      <c r="N4" s="423"/>
      <c r="O4" s="423"/>
      <c r="P4" s="423"/>
      <c r="Q4" s="423"/>
      <c r="R4" s="423"/>
      <c r="S4" s="423"/>
      <c r="T4" s="423"/>
      <c r="U4" s="423"/>
      <c r="V4" s="423"/>
      <c r="W4" s="423"/>
      <c r="X4" s="423"/>
      <c r="Y4" s="423"/>
      <c r="Z4" s="420"/>
      <c r="AA4" s="419" t="s">
        <v>44</v>
      </c>
      <c r="AB4" s="423"/>
      <c r="AC4" s="423"/>
      <c r="AD4" s="423"/>
      <c r="AE4" s="423"/>
      <c r="AF4" s="423"/>
      <c r="AG4" s="423"/>
      <c r="AH4" s="423"/>
      <c r="AI4" s="423"/>
      <c r="AJ4" s="423"/>
      <c r="AK4" s="423"/>
      <c r="AL4" s="423"/>
      <c r="AM4" s="423"/>
      <c r="AN4" s="423"/>
      <c r="AO4" s="423"/>
      <c r="AP4" s="423"/>
      <c r="AQ4" s="423"/>
      <c r="AR4" s="423"/>
      <c r="AS4" s="423"/>
      <c r="AT4" s="423"/>
      <c r="AU4" s="423"/>
      <c r="AV4" s="423"/>
      <c r="AW4" s="423"/>
      <c r="AX4" s="420"/>
      <c r="AY4" s="419" t="s">
        <v>47</v>
      </c>
      <c r="AZ4" s="423"/>
      <c r="BA4" s="423"/>
      <c r="BB4" s="423"/>
      <c r="BC4" s="423"/>
      <c r="BD4" s="423"/>
      <c r="BE4" s="423"/>
      <c r="BF4" s="423"/>
      <c r="BG4" s="423"/>
      <c r="BH4" s="423"/>
      <c r="BI4" s="423"/>
      <c r="BJ4" s="423"/>
      <c r="BK4" s="423"/>
      <c r="BL4" s="423"/>
      <c r="BM4" s="423"/>
      <c r="BN4" s="423"/>
      <c r="BO4" s="423"/>
      <c r="BP4" s="423"/>
      <c r="BQ4" s="423"/>
      <c r="BR4" s="423"/>
      <c r="BS4" s="423"/>
      <c r="BT4" s="423"/>
      <c r="BU4" s="423"/>
      <c r="BV4" s="420"/>
      <c r="BW4" s="419" t="s">
        <v>186</v>
      </c>
      <c r="BX4" s="423"/>
      <c r="BY4" s="423"/>
      <c r="BZ4" s="423"/>
      <c r="CA4" s="423"/>
      <c r="CB4" s="423"/>
      <c r="CC4" s="423"/>
      <c r="CD4" s="423"/>
      <c r="CE4" s="423"/>
      <c r="CF4" s="423"/>
      <c r="CG4" s="423"/>
      <c r="CH4" s="423"/>
      <c r="CI4" s="423"/>
      <c r="CJ4" s="423"/>
      <c r="CK4" s="423"/>
      <c r="CL4" s="423"/>
      <c r="CM4" s="423"/>
      <c r="CN4" s="423"/>
      <c r="CO4" s="423"/>
      <c r="CP4" s="423"/>
      <c r="CQ4" s="423"/>
      <c r="CR4" s="423"/>
      <c r="CS4" s="423"/>
      <c r="CT4" s="420"/>
      <c r="CU4" s="419" t="s">
        <v>55</v>
      </c>
      <c r="CV4" s="423"/>
      <c r="CW4" s="423"/>
      <c r="CX4" s="423"/>
      <c r="CY4" s="423"/>
      <c r="CZ4" s="423"/>
      <c r="DA4" s="423"/>
      <c r="DB4" s="423"/>
      <c r="DC4" s="423"/>
      <c r="DD4" s="423"/>
      <c r="DE4" s="423"/>
      <c r="DF4" s="423"/>
      <c r="DG4" s="423"/>
      <c r="DH4" s="423"/>
      <c r="DI4" s="423"/>
      <c r="DJ4" s="423"/>
      <c r="DK4" s="423"/>
      <c r="DL4" s="423"/>
      <c r="DM4" s="423"/>
      <c r="DN4" s="423"/>
      <c r="DO4" s="423"/>
      <c r="DP4" s="423"/>
      <c r="DQ4" s="423"/>
      <c r="DR4" s="420"/>
      <c r="DS4" s="419" t="s">
        <v>50</v>
      </c>
      <c r="DT4" s="423"/>
      <c r="DU4" s="423"/>
      <c r="DV4" s="423"/>
      <c r="DW4" s="423"/>
      <c r="DX4" s="423"/>
      <c r="DY4" s="423"/>
      <c r="DZ4" s="423"/>
      <c r="EA4" s="423"/>
      <c r="EB4" s="423"/>
      <c r="EC4" s="423"/>
      <c r="ED4" s="423"/>
      <c r="EE4" s="423"/>
      <c r="EF4" s="423"/>
      <c r="EG4" s="423"/>
      <c r="EH4" s="423"/>
      <c r="EI4" s="423"/>
      <c r="EJ4" s="423"/>
      <c r="EK4" s="423"/>
      <c r="EL4" s="423"/>
      <c r="EM4" s="423"/>
      <c r="EN4" s="423"/>
      <c r="EO4" s="423"/>
      <c r="EP4" s="420"/>
      <c r="EQ4" s="419" t="s">
        <v>51</v>
      </c>
      <c r="ER4" s="423"/>
      <c r="ES4" s="423"/>
      <c r="ET4" s="423"/>
      <c r="EU4" s="423"/>
      <c r="EV4" s="423"/>
      <c r="EW4" s="423"/>
      <c r="EX4" s="423"/>
      <c r="EY4" s="423"/>
      <c r="EZ4" s="423"/>
      <c r="FA4" s="423"/>
      <c r="FB4" s="423"/>
      <c r="FC4" s="423"/>
      <c r="FD4" s="423"/>
      <c r="FE4" s="423"/>
      <c r="FF4" s="423"/>
      <c r="FG4" s="423"/>
      <c r="FH4" s="423"/>
      <c r="FI4" s="423"/>
      <c r="FJ4" s="423"/>
      <c r="FK4" s="423"/>
      <c r="FL4" s="423"/>
      <c r="FM4" s="423"/>
      <c r="FN4" s="420"/>
      <c r="FO4" s="419" t="s">
        <v>52</v>
      </c>
      <c r="FP4" s="423"/>
      <c r="FQ4" s="423"/>
      <c r="FR4" s="423"/>
      <c r="FS4" s="423"/>
      <c r="FT4" s="423"/>
      <c r="FU4" s="423"/>
      <c r="FV4" s="423"/>
      <c r="FW4" s="423"/>
      <c r="FX4" s="423"/>
      <c r="FY4" s="423"/>
      <c r="FZ4" s="423"/>
      <c r="GA4" s="423"/>
      <c r="GB4" s="423"/>
      <c r="GC4" s="423"/>
      <c r="GD4" s="423"/>
      <c r="GE4" s="423"/>
      <c r="GF4" s="423"/>
      <c r="GG4" s="423"/>
      <c r="GH4" s="423"/>
      <c r="GI4" s="423"/>
      <c r="GJ4" s="423"/>
      <c r="GK4" s="423"/>
      <c r="GL4" s="420"/>
      <c r="GM4" s="419" t="s">
        <v>53</v>
      </c>
      <c r="GN4" s="423"/>
      <c r="GO4" s="423"/>
      <c r="GP4" s="423"/>
      <c r="GQ4" s="423"/>
      <c r="GR4" s="423"/>
      <c r="GS4" s="423"/>
      <c r="GT4" s="423"/>
      <c r="GU4" s="423"/>
      <c r="GV4" s="423"/>
      <c r="GW4" s="423"/>
      <c r="GX4" s="423"/>
      <c r="GY4" s="423"/>
      <c r="GZ4" s="423"/>
      <c r="HA4" s="423"/>
      <c r="HB4" s="423"/>
      <c r="HC4" s="423"/>
      <c r="HD4" s="423"/>
      <c r="HE4" s="423"/>
      <c r="HF4" s="423"/>
      <c r="HG4" s="423"/>
      <c r="HH4" s="423"/>
      <c r="HI4" s="423"/>
      <c r="HJ4" s="420"/>
      <c r="HK4" s="419" t="s">
        <v>54</v>
      </c>
      <c r="HL4" s="423"/>
      <c r="HM4" s="423"/>
      <c r="HN4" s="423"/>
      <c r="HO4" s="423"/>
      <c r="HP4" s="423"/>
      <c r="HQ4" s="423"/>
      <c r="HR4" s="423"/>
      <c r="HS4" s="423"/>
      <c r="HT4" s="423"/>
      <c r="HU4" s="423"/>
      <c r="HV4" s="423"/>
      <c r="HW4" s="423"/>
      <c r="HX4" s="423"/>
      <c r="HY4" s="423"/>
      <c r="HZ4" s="423"/>
      <c r="IA4" s="423"/>
      <c r="IB4" s="423"/>
      <c r="IC4" s="423"/>
      <c r="ID4" s="423"/>
      <c r="IE4" s="423"/>
      <c r="IF4" s="423"/>
      <c r="IG4" s="423"/>
      <c r="IH4" s="420"/>
      <c r="II4" s="419" t="s">
        <v>187</v>
      </c>
      <c r="IJ4" s="423"/>
      <c r="IK4" s="423"/>
      <c r="IL4" s="423"/>
      <c r="IM4" s="423"/>
      <c r="IN4" s="423"/>
      <c r="IO4" s="423"/>
      <c r="IP4" s="423"/>
      <c r="IQ4" s="423"/>
      <c r="IR4" s="423"/>
      <c r="IS4" s="423"/>
      <c r="IT4" s="423"/>
      <c r="IU4" s="423"/>
      <c r="IV4" s="423"/>
      <c r="IW4" s="423"/>
      <c r="IX4" s="423"/>
      <c r="IY4" s="423"/>
      <c r="IZ4" s="423"/>
      <c r="JA4" s="423"/>
      <c r="JB4" s="423"/>
      <c r="JC4" s="423"/>
      <c r="JD4" s="423"/>
      <c r="JE4" s="423"/>
      <c r="JF4" s="420"/>
      <c r="JG4" s="419" t="s">
        <v>169</v>
      </c>
      <c r="JH4" s="423"/>
      <c r="JI4" s="423"/>
      <c r="JJ4" s="423"/>
      <c r="JK4" s="423"/>
      <c r="JL4" s="423"/>
      <c r="JM4" s="423"/>
      <c r="JN4" s="423"/>
      <c r="JO4" s="423"/>
      <c r="JP4" s="423"/>
      <c r="JQ4" s="423"/>
      <c r="JR4" s="423"/>
      <c r="JS4" s="423"/>
      <c r="JT4" s="423"/>
      <c r="JU4" s="423"/>
      <c r="JV4" s="423"/>
      <c r="JW4" s="423"/>
      <c r="JX4" s="423"/>
      <c r="JY4" s="423"/>
      <c r="JZ4" s="423"/>
      <c r="KA4" s="423"/>
      <c r="KB4" s="423"/>
      <c r="KC4" s="423"/>
      <c r="KD4" s="420"/>
      <c r="KE4" s="419" t="s">
        <v>116</v>
      </c>
      <c r="KF4" s="423"/>
      <c r="KG4" s="423"/>
      <c r="KH4" s="423"/>
      <c r="KI4" s="423"/>
      <c r="KJ4" s="423"/>
      <c r="KK4" s="423"/>
      <c r="KL4" s="423"/>
      <c r="KM4" s="423"/>
      <c r="KN4" s="423"/>
      <c r="KO4" s="423"/>
      <c r="KP4" s="423"/>
      <c r="KQ4" s="423"/>
      <c r="KR4" s="423"/>
      <c r="KS4" s="423"/>
      <c r="KT4" s="423"/>
      <c r="KU4" s="423"/>
      <c r="KV4" s="423"/>
      <c r="KW4" s="423"/>
      <c r="KX4" s="423"/>
      <c r="KY4" s="423"/>
      <c r="KZ4" s="423"/>
      <c r="LA4" s="423"/>
      <c r="LB4" s="420"/>
      <c r="LC4" s="419" t="s">
        <v>117</v>
      </c>
      <c r="LD4" s="423"/>
      <c r="LE4" s="423"/>
      <c r="LF4" s="423"/>
      <c r="LG4" s="423"/>
      <c r="LH4" s="423"/>
      <c r="LI4" s="423"/>
      <c r="LJ4" s="423"/>
      <c r="LK4" s="423"/>
      <c r="LL4" s="423"/>
      <c r="LM4" s="423"/>
      <c r="LN4" s="423"/>
      <c r="LO4" s="423"/>
      <c r="LP4" s="423"/>
      <c r="LQ4" s="423"/>
      <c r="LR4" s="423"/>
      <c r="LS4" s="423"/>
      <c r="LT4" s="423"/>
      <c r="LU4" s="423"/>
      <c r="LV4" s="423"/>
      <c r="LW4" s="423"/>
      <c r="LX4" s="423"/>
      <c r="LY4" s="423"/>
      <c r="LZ4" s="420"/>
      <c r="MA4" s="419" t="s">
        <v>120</v>
      </c>
      <c r="MB4" s="423"/>
      <c r="MC4" s="423"/>
      <c r="MD4" s="423"/>
      <c r="ME4" s="423"/>
      <c r="MF4" s="423"/>
      <c r="MG4" s="423"/>
      <c r="MH4" s="423"/>
      <c r="MI4" s="423"/>
      <c r="MJ4" s="423"/>
      <c r="MK4" s="423"/>
      <c r="ML4" s="423"/>
      <c r="MM4" s="423"/>
      <c r="MN4" s="423"/>
      <c r="MO4" s="423"/>
      <c r="MP4" s="423"/>
      <c r="MQ4" s="423"/>
      <c r="MR4" s="423"/>
      <c r="MS4" s="423"/>
      <c r="MT4" s="423"/>
      <c r="MU4" s="423"/>
      <c r="MV4" s="423"/>
      <c r="MW4" s="423"/>
      <c r="MX4" s="420"/>
      <c r="MY4" s="419" t="s">
        <v>115</v>
      </c>
      <c r="MZ4" s="423"/>
      <c r="NA4" s="423"/>
      <c r="NB4" s="423"/>
      <c r="NC4" s="423"/>
      <c r="ND4" s="423"/>
      <c r="NE4" s="423"/>
      <c r="NF4" s="423"/>
      <c r="NG4" s="423"/>
      <c r="NH4" s="423"/>
      <c r="NI4" s="423"/>
      <c r="NJ4" s="423"/>
      <c r="NK4" s="423"/>
      <c r="NL4" s="423"/>
      <c r="NM4" s="423"/>
      <c r="NN4" s="423"/>
      <c r="NO4" s="423"/>
      <c r="NP4" s="423"/>
      <c r="NQ4" s="423"/>
      <c r="NR4" s="423"/>
      <c r="NS4" s="423"/>
      <c r="NT4" s="423"/>
      <c r="NU4" s="423"/>
      <c r="NV4" s="420"/>
      <c r="NW4" s="419" t="s">
        <v>60</v>
      </c>
      <c r="NX4" s="423"/>
      <c r="NY4" s="423"/>
      <c r="NZ4" s="423"/>
      <c r="OA4" s="423"/>
      <c r="OB4" s="423"/>
      <c r="OC4" s="423"/>
      <c r="OD4" s="423"/>
      <c r="OE4" s="423"/>
      <c r="OF4" s="423"/>
      <c r="OG4" s="423"/>
      <c r="OH4" s="423"/>
      <c r="OI4" s="423"/>
      <c r="OJ4" s="423"/>
      <c r="OK4" s="423"/>
      <c r="OL4" s="423"/>
      <c r="OM4" s="423"/>
      <c r="ON4" s="423"/>
      <c r="OO4" s="423"/>
      <c r="OP4" s="423"/>
      <c r="OQ4" s="423"/>
      <c r="OR4" s="423"/>
      <c r="OS4" s="423"/>
      <c r="OT4" s="420"/>
      <c r="OU4" s="419" t="s">
        <v>151</v>
      </c>
      <c r="OV4" s="423"/>
      <c r="OW4" s="423"/>
      <c r="OX4" s="423"/>
      <c r="OY4" s="423"/>
      <c r="OZ4" s="423"/>
      <c r="PA4" s="423"/>
      <c r="PB4" s="423"/>
      <c r="PC4" s="423"/>
      <c r="PD4" s="423"/>
      <c r="PE4" s="423"/>
      <c r="PF4" s="423"/>
      <c r="PG4" s="423"/>
      <c r="PH4" s="423"/>
      <c r="PI4" s="423"/>
      <c r="PJ4" s="423"/>
      <c r="PK4" s="423"/>
      <c r="PL4" s="423"/>
      <c r="PM4" s="423"/>
      <c r="PN4" s="423"/>
      <c r="PO4" s="423"/>
      <c r="PP4" s="423"/>
      <c r="PQ4" s="423"/>
      <c r="PR4" s="420"/>
      <c r="PS4" s="419" t="s">
        <v>65</v>
      </c>
      <c r="PT4" s="423"/>
      <c r="PU4" s="423"/>
      <c r="PV4" s="423"/>
      <c r="PW4" s="423"/>
      <c r="PX4" s="423"/>
      <c r="PY4" s="423"/>
      <c r="PZ4" s="423"/>
      <c r="QA4" s="423"/>
      <c r="QB4" s="423"/>
      <c r="QC4" s="423"/>
      <c r="QD4" s="423"/>
      <c r="QE4" s="423"/>
      <c r="QF4" s="423"/>
      <c r="QG4" s="423"/>
      <c r="QH4" s="423"/>
      <c r="QI4" s="423"/>
      <c r="QJ4" s="423"/>
      <c r="QK4" s="423"/>
      <c r="QL4" s="423"/>
      <c r="QM4" s="423"/>
      <c r="QN4" s="423"/>
      <c r="QO4" s="423"/>
      <c r="QP4" s="420"/>
      <c r="QQ4" s="419" t="s">
        <v>121</v>
      </c>
      <c r="QR4" s="423"/>
      <c r="QS4" s="423"/>
      <c r="QT4" s="423"/>
      <c r="QU4" s="423"/>
      <c r="QV4" s="423"/>
      <c r="QW4" s="423"/>
      <c r="QX4" s="423"/>
      <c r="QY4" s="423"/>
      <c r="QZ4" s="423"/>
      <c r="RA4" s="423"/>
      <c r="RB4" s="423"/>
      <c r="RC4" s="423"/>
      <c r="RD4" s="423"/>
      <c r="RE4" s="423"/>
      <c r="RF4" s="423"/>
      <c r="RG4" s="423"/>
      <c r="RH4" s="423"/>
      <c r="RI4" s="423"/>
      <c r="RJ4" s="423"/>
      <c r="RK4" s="423"/>
      <c r="RL4" s="423"/>
      <c r="RM4" s="423"/>
      <c r="RN4" s="420"/>
      <c r="RO4" s="419" t="s">
        <v>66</v>
      </c>
      <c r="RP4" s="423"/>
      <c r="RQ4" s="423"/>
      <c r="RR4" s="423"/>
      <c r="RS4" s="423"/>
      <c r="RT4" s="423"/>
      <c r="RU4" s="423"/>
      <c r="RV4" s="423"/>
      <c r="RW4" s="423"/>
      <c r="RX4" s="423"/>
      <c r="RY4" s="423"/>
      <c r="RZ4" s="423"/>
      <c r="SA4" s="423"/>
      <c r="SB4" s="423"/>
      <c r="SC4" s="423"/>
      <c r="SD4" s="423"/>
      <c r="SE4" s="423"/>
      <c r="SF4" s="423"/>
      <c r="SG4" s="423"/>
      <c r="SH4" s="423"/>
      <c r="SI4" s="423"/>
      <c r="SJ4" s="423"/>
      <c r="SK4" s="423"/>
      <c r="SL4" s="420"/>
      <c r="SM4" s="419" t="s">
        <v>122</v>
      </c>
      <c r="SN4" s="423"/>
      <c r="SO4" s="423"/>
      <c r="SP4" s="423"/>
      <c r="SQ4" s="423"/>
      <c r="SR4" s="423"/>
      <c r="SS4" s="423"/>
      <c r="ST4" s="423"/>
      <c r="SU4" s="423"/>
      <c r="SV4" s="423"/>
      <c r="SW4" s="423"/>
      <c r="SX4" s="423"/>
      <c r="SY4" s="423"/>
      <c r="SZ4" s="423"/>
      <c r="TA4" s="423"/>
      <c r="TB4" s="423"/>
      <c r="TC4" s="423"/>
      <c r="TD4" s="423"/>
      <c r="TE4" s="423"/>
      <c r="TF4" s="423"/>
      <c r="TG4" s="423"/>
      <c r="TH4" s="423"/>
      <c r="TI4" s="423"/>
      <c r="TJ4" s="420"/>
      <c r="TK4" s="419" t="s">
        <v>152</v>
      </c>
      <c r="TL4" s="423"/>
      <c r="TM4" s="423"/>
      <c r="TN4" s="423"/>
      <c r="TO4" s="423"/>
      <c r="TP4" s="423"/>
      <c r="TQ4" s="423"/>
      <c r="TR4" s="423"/>
      <c r="TS4" s="423"/>
      <c r="TT4" s="423"/>
      <c r="TU4" s="423"/>
      <c r="TV4" s="423"/>
      <c r="TW4" s="423"/>
      <c r="TX4" s="423"/>
      <c r="TY4" s="423"/>
      <c r="TZ4" s="423"/>
      <c r="UA4" s="423"/>
      <c r="UB4" s="423"/>
      <c r="UC4" s="423"/>
      <c r="UD4" s="423"/>
      <c r="UE4" s="423"/>
      <c r="UF4" s="423"/>
      <c r="UG4" s="423"/>
      <c r="UH4" s="420"/>
      <c r="UI4" s="419" t="s">
        <v>67</v>
      </c>
      <c r="UJ4" s="423"/>
      <c r="UK4" s="423"/>
      <c r="UL4" s="423"/>
      <c r="UM4" s="423"/>
      <c r="UN4" s="423"/>
      <c r="UO4" s="423"/>
      <c r="UP4" s="423"/>
      <c r="UQ4" s="423"/>
      <c r="UR4" s="423"/>
      <c r="US4" s="423"/>
      <c r="UT4" s="423"/>
      <c r="UU4" s="423"/>
      <c r="UV4" s="423"/>
      <c r="UW4" s="423"/>
      <c r="UX4" s="423"/>
      <c r="UY4" s="423"/>
      <c r="UZ4" s="423"/>
      <c r="VA4" s="423"/>
      <c r="VB4" s="423"/>
      <c r="VC4" s="423"/>
      <c r="VD4" s="423"/>
      <c r="VE4" s="423"/>
      <c r="VF4" s="420"/>
      <c r="VG4" s="419" t="s">
        <v>188</v>
      </c>
      <c r="VH4" s="423"/>
      <c r="VI4" s="423"/>
      <c r="VJ4" s="423"/>
      <c r="VK4" s="423"/>
      <c r="VL4" s="423"/>
      <c r="VM4" s="423"/>
      <c r="VN4" s="423"/>
      <c r="VO4" s="423"/>
      <c r="VP4" s="423"/>
      <c r="VQ4" s="423"/>
      <c r="VR4" s="423"/>
      <c r="VS4" s="423"/>
      <c r="VT4" s="423"/>
      <c r="VU4" s="423"/>
      <c r="VV4" s="423"/>
      <c r="VW4" s="423"/>
      <c r="VX4" s="423"/>
      <c r="VY4" s="423"/>
      <c r="VZ4" s="423"/>
      <c r="WA4" s="423"/>
      <c r="WB4" s="423"/>
      <c r="WC4" s="423"/>
      <c r="WD4" s="420"/>
      <c r="WE4" s="419" t="s">
        <v>189</v>
      </c>
      <c r="WF4" s="423"/>
      <c r="WG4" s="423"/>
      <c r="WH4" s="423"/>
      <c r="WI4" s="423"/>
      <c r="WJ4" s="423"/>
      <c r="WK4" s="423"/>
      <c r="WL4" s="423"/>
      <c r="WM4" s="423"/>
      <c r="WN4" s="423"/>
      <c r="WO4" s="423"/>
      <c r="WP4" s="423"/>
      <c r="WQ4" s="423"/>
      <c r="WR4" s="423"/>
      <c r="WS4" s="423"/>
      <c r="WT4" s="423"/>
      <c r="WU4" s="423"/>
      <c r="WV4" s="423"/>
      <c r="WW4" s="423"/>
      <c r="WX4" s="423"/>
      <c r="WY4" s="423"/>
      <c r="WZ4" s="423"/>
      <c r="XA4" s="423"/>
      <c r="XB4" s="420"/>
      <c r="XC4" s="419" t="s">
        <v>190</v>
      </c>
      <c r="XD4" s="423"/>
      <c r="XE4" s="423"/>
      <c r="XF4" s="423"/>
      <c r="XG4" s="423"/>
      <c r="XH4" s="423"/>
      <c r="XI4" s="423"/>
      <c r="XJ4" s="423"/>
      <c r="XK4" s="423"/>
      <c r="XL4" s="423"/>
      <c r="XM4" s="423"/>
      <c r="XN4" s="423"/>
      <c r="XO4" s="423"/>
      <c r="XP4" s="423"/>
      <c r="XQ4" s="423"/>
      <c r="XR4" s="423"/>
      <c r="XS4" s="423"/>
      <c r="XT4" s="423"/>
      <c r="XU4" s="423"/>
      <c r="XV4" s="423"/>
      <c r="XW4" s="423"/>
      <c r="XX4" s="423"/>
      <c r="XY4" s="423"/>
      <c r="XZ4" s="420"/>
      <c r="YA4" s="419" t="s">
        <v>191</v>
      </c>
      <c r="YB4" s="423"/>
      <c r="YC4" s="423"/>
      <c r="YD4" s="423"/>
      <c r="YE4" s="423"/>
      <c r="YF4" s="423"/>
      <c r="YG4" s="423"/>
      <c r="YH4" s="423"/>
      <c r="YI4" s="423"/>
      <c r="YJ4" s="423"/>
      <c r="YK4" s="423"/>
      <c r="YL4" s="423"/>
      <c r="YM4" s="423"/>
      <c r="YN4" s="423"/>
      <c r="YO4" s="423"/>
      <c r="YP4" s="423"/>
      <c r="YQ4" s="423"/>
      <c r="YR4" s="423"/>
      <c r="YS4" s="423"/>
      <c r="YT4" s="423"/>
      <c r="YU4" s="423"/>
      <c r="YV4" s="423"/>
      <c r="YW4" s="423"/>
      <c r="YX4" s="420"/>
      <c r="YY4" s="419" t="s">
        <v>192</v>
      </c>
      <c r="YZ4" s="423"/>
      <c r="ZA4" s="423"/>
      <c r="ZB4" s="423"/>
      <c r="ZC4" s="423"/>
      <c r="ZD4" s="423"/>
      <c r="ZE4" s="423"/>
      <c r="ZF4" s="423"/>
      <c r="ZG4" s="423"/>
      <c r="ZH4" s="423"/>
      <c r="ZI4" s="423"/>
      <c r="ZJ4" s="423"/>
      <c r="ZK4" s="423"/>
      <c r="ZL4" s="423"/>
      <c r="ZM4" s="423"/>
      <c r="ZN4" s="423"/>
      <c r="ZO4" s="423"/>
      <c r="ZP4" s="423"/>
      <c r="ZQ4" s="423"/>
      <c r="ZR4" s="423"/>
      <c r="ZS4" s="423"/>
      <c r="ZT4" s="423"/>
      <c r="ZU4" s="423"/>
      <c r="ZV4" s="420"/>
      <c r="ZW4" s="419" t="s">
        <v>193</v>
      </c>
      <c r="ZX4" s="423"/>
      <c r="ZY4" s="423"/>
      <c r="ZZ4" s="423"/>
      <c r="AAA4" s="423"/>
      <c r="AAB4" s="423"/>
      <c r="AAC4" s="423"/>
      <c r="AAD4" s="423"/>
      <c r="AAE4" s="423"/>
      <c r="AAF4" s="423"/>
      <c r="AAG4" s="423"/>
      <c r="AAH4" s="423"/>
      <c r="AAI4" s="423"/>
      <c r="AAJ4" s="423"/>
      <c r="AAK4" s="423"/>
      <c r="AAL4" s="423"/>
      <c r="AAM4" s="423"/>
      <c r="AAN4" s="423"/>
      <c r="AAO4" s="423"/>
      <c r="AAP4" s="423"/>
      <c r="AAQ4" s="423"/>
      <c r="AAR4" s="423"/>
      <c r="AAS4" s="423"/>
      <c r="AAT4" s="420"/>
      <c r="AAU4" s="419" t="s">
        <v>194</v>
      </c>
      <c r="AAV4" s="423"/>
      <c r="AAW4" s="423"/>
      <c r="AAX4" s="423"/>
      <c r="AAY4" s="423"/>
      <c r="AAZ4" s="423"/>
      <c r="ABA4" s="423"/>
      <c r="ABB4" s="423"/>
      <c r="ABC4" s="423"/>
      <c r="ABD4" s="423"/>
      <c r="ABE4" s="423"/>
      <c r="ABF4" s="423"/>
      <c r="ABG4" s="423"/>
      <c r="ABH4" s="423"/>
      <c r="ABI4" s="423"/>
      <c r="ABJ4" s="423"/>
      <c r="ABK4" s="423"/>
      <c r="ABL4" s="423"/>
      <c r="ABM4" s="423"/>
      <c r="ABN4" s="423"/>
      <c r="ABO4" s="423"/>
      <c r="ABP4" s="423"/>
      <c r="ABQ4" s="423"/>
      <c r="ABR4" s="420"/>
      <c r="ABS4" s="419" t="s">
        <v>195</v>
      </c>
      <c r="ABT4" s="423"/>
      <c r="ABU4" s="423"/>
      <c r="ABV4" s="423"/>
      <c r="ABW4" s="423"/>
      <c r="ABX4" s="423"/>
      <c r="ABY4" s="423"/>
      <c r="ABZ4" s="423"/>
      <c r="ACA4" s="423"/>
      <c r="ACB4" s="423"/>
      <c r="ACC4" s="423"/>
      <c r="ACD4" s="423"/>
      <c r="ACE4" s="423"/>
      <c r="ACF4" s="423"/>
      <c r="ACG4" s="423"/>
      <c r="ACH4" s="423"/>
      <c r="ACI4" s="423"/>
      <c r="ACJ4" s="423"/>
      <c r="ACK4" s="423"/>
      <c r="ACL4" s="423"/>
      <c r="ACM4" s="423"/>
      <c r="ACN4" s="423"/>
      <c r="ACO4" s="423"/>
      <c r="ACP4" s="420"/>
    </row>
    <row r="5" spans="1:770" ht="23.25" customHeight="1">
      <c r="A5" s="421"/>
      <c r="B5" s="422"/>
      <c r="C5" s="421"/>
      <c r="D5" s="424"/>
      <c r="E5" s="424"/>
      <c r="F5" s="424"/>
      <c r="G5" s="424"/>
      <c r="H5" s="424"/>
      <c r="I5" s="424"/>
      <c r="J5" s="424"/>
      <c r="K5" s="424"/>
      <c r="L5" s="424"/>
      <c r="M5" s="424"/>
      <c r="N5" s="424"/>
      <c r="O5" s="424"/>
      <c r="P5" s="424"/>
      <c r="Q5" s="424"/>
      <c r="R5" s="424"/>
      <c r="S5" s="424"/>
      <c r="T5" s="424"/>
      <c r="U5" s="424"/>
      <c r="V5" s="424"/>
      <c r="W5" s="424"/>
      <c r="X5" s="424"/>
      <c r="Y5" s="424"/>
      <c r="Z5" s="422"/>
      <c r="AA5" s="421"/>
      <c r="AB5" s="424"/>
      <c r="AC5" s="424"/>
      <c r="AD5" s="424"/>
      <c r="AE5" s="424"/>
      <c r="AF5" s="424"/>
      <c r="AG5" s="424"/>
      <c r="AH5" s="424"/>
      <c r="AI5" s="424"/>
      <c r="AJ5" s="424"/>
      <c r="AK5" s="424"/>
      <c r="AL5" s="424"/>
      <c r="AM5" s="424"/>
      <c r="AN5" s="424"/>
      <c r="AO5" s="424"/>
      <c r="AP5" s="424"/>
      <c r="AQ5" s="424"/>
      <c r="AR5" s="424"/>
      <c r="AS5" s="424"/>
      <c r="AT5" s="424"/>
      <c r="AU5" s="424"/>
      <c r="AV5" s="424"/>
      <c r="AW5" s="424"/>
      <c r="AX5" s="422"/>
      <c r="AY5" s="421"/>
      <c r="AZ5" s="424"/>
      <c r="BA5" s="424"/>
      <c r="BB5" s="424"/>
      <c r="BC5" s="424"/>
      <c r="BD5" s="424"/>
      <c r="BE5" s="424"/>
      <c r="BF5" s="424"/>
      <c r="BG5" s="424"/>
      <c r="BH5" s="424"/>
      <c r="BI5" s="424"/>
      <c r="BJ5" s="424"/>
      <c r="BK5" s="424"/>
      <c r="BL5" s="424"/>
      <c r="BM5" s="424"/>
      <c r="BN5" s="424"/>
      <c r="BO5" s="424"/>
      <c r="BP5" s="424"/>
      <c r="BQ5" s="424"/>
      <c r="BR5" s="424"/>
      <c r="BS5" s="424"/>
      <c r="BT5" s="424"/>
      <c r="BU5" s="424"/>
      <c r="BV5" s="422"/>
      <c r="BW5" s="421"/>
      <c r="BX5" s="424"/>
      <c r="BY5" s="424"/>
      <c r="BZ5" s="424"/>
      <c r="CA5" s="424"/>
      <c r="CB5" s="424"/>
      <c r="CC5" s="424"/>
      <c r="CD5" s="424"/>
      <c r="CE5" s="424"/>
      <c r="CF5" s="424"/>
      <c r="CG5" s="424"/>
      <c r="CH5" s="424"/>
      <c r="CI5" s="424"/>
      <c r="CJ5" s="424"/>
      <c r="CK5" s="424"/>
      <c r="CL5" s="424"/>
      <c r="CM5" s="424"/>
      <c r="CN5" s="424"/>
      <c r="CO5" s="424"/>
      <c r="CP5" s="424"/>
      <c r="CQ5" s="424"/>
      <c r="CR5" s="424"/>
      <c r="CS5" s="424"/>
      <c r="CT5" s="422"/>
      <c r="CU5" s="421"/>
      <c r="CV5" s="424"/>
      <c r="CW5" s="424"/>
      <c r="CX5" s="424"/>
      <c r="CY5" s="424"/>
      <c r="CZ5" s="424"/>
      <c r="DA5" s="424"/>
      <c r="DB5" s="424"/>
      <c r="DC5" s="424"/>
      <c r="DD5" s="424"/>
      <c r="DE5" s="424"/>
      <c r="DF5" s="424"/>
      <c r="DG5" s="424"/>
      <c r="DH5" s="424"/>
      <c r="DI5" s="424"/>
      <c r="DJ5" s="424"/>
      <c r="DK5" s="424"/>
      <c r="DL5" s="424"/>
      <c r="DM5" s="424"/>
      <c r="DN5" s="424"/>
      <c r="DO5" s="424"/>
      <c r="DP5" s="424"/>
      <c r="DQ5" s="424"/>
      <c r="DR5" s="422"/>
      <c r="DS5" s="421"/>
      <c r="DT5" s="424"/>
      <c r="DU5" s="424"/>
      <c r="DV5" s="424"/>
      <c r="DW5" s="424"/>
      <c r="DX5" s="424"/>
      <c r="DY5" s="424"/>
      <c r="DZ5" s="424"/>
      <c r="EA5" s="424"/>
      <c r="EB5" s="424"/>
      <c r="EC5" s="424"/>
      <c r="ED5" s="424"/>
      <c r="EE5" s="424"/>
      <c r="EF5" s="424"/>
      <c r="EG5" s="424"/>
      <c r="EH5" s="424"/>
      <c r="EI5" s="424"/>
      <c r="EJ5" s="424"/>
      <c r="EK5" s="424"/>
      <c r="EL5" s="424"/>
      <c r="EM5" s="424"/>
      <c r="EN5" s="424"/>
      <c r="EO5" s="424"/>
      <c r="EP5" s="422"/>
      <c r="EQ5" s="421"/>
      <c r="ER5" s="424"/>
      <c r="ES5" s="424"/>
      <c r="ET5" s="424"/>
      <c r="EU5" s="424"/>
      <c r="EV5" s="424"/>
      <c r="EW5" s="424"/>
      <c r="EX5" s="424"/>
      <c r="EY5" s="424"/>
      <c r="EZ5" s="424"/>
      <c r="FA5" s="424"/>
      <c r="FB5" s="424"/>
      <c r="FC5" s="424"/>
      <c r="FD5" s="424"/>
      <c r="FE5" s="424"/>
      <c r="FF5" s="424"/>
      <c r="FG5" s="424"/>
      <c r="FH5" s="424"/>
      <c r="FI5" s="424"/>
      <c r="FJ5" s="424"/>
      <c r="FK5" s="424"/>
      <c r="FL5" s="424"/>
      <c r="FM5" s="424"/>
      <c r="FN5" s="422"/>
      <c r="FO5" s="421"/>
      <c r="FP5" s="424"/>
      <c r="FQ5" s="424"/>
      <c r="FR5" s="424"/>
      <c r="FS5" s="424"/>
      <c r="FT5" s="424"/>
      <c r="FU5" s="424"/>
      <c r="FV5" s="424"/>
      <c r="FW5" s="424"/>
      <c r="FX5" s="424"/>
      <c r="FY5" s="424"/>
      <c r="FZ5" s="424"/>
      <c r="GA5" s="424"/>
      <c r="GB5" s="424"/>
      <c r="GC5" s="424"/>
      <c r="GD5" s="424"/>
      <c r="GE5" s="424"/>
      <c r="GF5" s="424"/>
      <c r="GG5" s="424"/>
      <c r="GH5" s="424"/>
      <c r="GI5" s="424"/>
      <c r="GJ5" s="424"/>
      <c r="GK5" s="424"/>
      <c r="GL5" s="422"/>
      <c r="GM5" s="421"/>
      <c r="GN5" s="424"/>
      <c r="GO5" s="424"/>
      <c r="GP5" s="424"/>
      <c r="GQ5" s="424"/>
      <c r="GR5" s="424"/>
      <c r="GS5" s="424"/>
      <c r="GT5" s="424"/>
      <c r="GU5" s="424"/>
      <c r="GV5" s="424"/>
      <c r="GW5" s="424"/>
      <c r="GX5" s="424"/>
      <c r="GY5" s="424"/>
      <c r="GZ5" s="424"/>
      <c r="HA5" s="424"/>
      <c r="HB5" s="424"/>
      <c r="HC5" s="424"/>
      <c r="HD5" s="424"/>
      <c r="HE5" s="424"/>
      <c r="HF5" s="424"/>
      <c r="HG5" s="424"/>
      <c r="HH5" s="424"/>
      <c r="HI5" s="424"/>
      <c r="HJ5" s="422"/>
      <c r="HK5" s="421"/>
      <c r="HL5" s="424"/>
      <c r="HM5" s="424"/>
      <c r="HN5" s="424"/>
      <c r="HO5" s="424"/>
      <c r="HP5" s="424"/>
      <c r="HQ5" s="424"/>
      <c r="HR5" s="424"/>
      <c r="HS5" s="424"/>
      <c r="HT5" s="424"/>
      <c r="HU5" s="424"/>
      <c r="HV5" s="424"/>
      <c r="HW5" s="424"/>
      <c r="HX5" s="424"/>
      <c r="HY5" s="424"/>
      <c r="HZ5" s="424"/>
      <c r="IA5" s="424"/>
      <c r="IB5" s="424"/>
      <c r="IC5" s="424"/>
      <c r="ID5" s="424"/>
      <c r="IE5" s="424"/>
      <c r="IF5" s="424"/>
      <c r="IG5" s="424"/>
      <c r="IH5" s="422"/>
      <c r="II5" s="421"/>
      <c r="IJ5" s="424"/>
      <c r="IK5" s="424"/>
      <c r="IL5" s="424"/>
      <c r="IM5" s="424"/>
      <c r="IN5" s="424"/>
      <c r="IO5" s="424"/>
      <c r="IP5" s="424"/>
      <c r="IQ5" s="424"/>
      <c r="IR5" s="424"/>
      <c r="IS5" s="424"/>
      <c r="IT5" s="424"/>
      <c r="IU5" s="424"/>
      <c r="IV5" s="424"/>
      <c r="IW5" s="424"/>
      <c r="IX5" s="424"/>
      <c r="IY5" s="424"/>
      <c r="IZ5" s="424"/>
      <c r="JA5" s="424"/>
      <c r="JB5" s="424"/>
      <c r="JC5" s="424"/>
      <c r="JD5" s="424"/>
      <c r="JE5" s="424"/>
      <c r="JF5" s="422"/>
      <c r="JG5" s="421"/>
      <c r="JH5" s="424"/>
      <c r="JI5" s="424"/>
      <c r="JJ5" s="424"/>
      <c r="JK5" s="424"/>
      <c r="JL5" s="424"/>
      <c r="JM5" s="424"/>
      <c r="JN5" s="424"/>
      <c r="JO5" s="424"/>
      <c r="JP5" s="424"/>
      <c r="JQ5" s="424"/>
      <c r="JR5" s="424"/>
      <c r="JS5" s="424"/>
      <c r="JT5" s="424"/>
      <c r="JU5" s="424"/>
      <c r="JV5" s="424"/>
      <c r="JW5" s="424"/>
      <c r="JX5" s="424"/>
      <c r="JY5" s="424"/>
      <c r="JZ5" s="424"/>
      <c r="KA5" s="424"/>
      <c r="KB5" s="424"/>
      <c r="KC5" s="424"/>
      <c r="KD5" s="422"/>
      <c r="KE5" s="421"/>
      <c r="KF5" s="424"/>
      <c r="KG5" s="424"/>
      <c r="KH5" s="424"/>
      <c r="KI5" s="424"/>
      <c r="KJ5" s="424"/>
      <c r="KK5" s="424"/>
      <c r="KL5" s="424"/>
      <c r="KM5" s="424"/>
      <c r="KN5" s="424"/>
      <c r="KO5" s="424"/>
      <c r="KP5" s="424"/>
      <c r="KQ5" s="424"/>
      <c r="KR5" s="424"/>
      <c r="KS5" s="424"/>
      <c r="KT5" s="424"/>
      <c r="KU5" s="424"/>
      <c r="KV5" s="424"/>
      <c r="KW5" s="424"/>
      <c r="KX5" s="424"/>
      <c r="KY5" s="424"/>
      <c r="KZ5" s="424"/>
      <c r="LA5" s="424"/>
      <c r="LB5" s="422"/>
      <c r="LC5" s="421"/>
      <c r="LD5" s="424"/>
      <c r="LE5" s="424"/>
      <c r="LF5" s="424"/>
      <c r="LG5" s="424"/>
      <c r="LH5" s="424"/>
      <c r="LI5" s="424"/>
      <c r="LJ5" s="424"/>
      <c r="LK5" s="424"/>
      <c r="LL5" s="424"/>
      <c r="LM5" s="424"/>
      <c r="LN5" s="424"/>
      <c r="LO5" s="424"/>
      <c r="LP5" s="424"/>
      <c r="LQ5" s="424"/>
      <c r="LR5" s="424"/>
      <c r="LS5" s="424"/>
      <c r="LT5" s="424"/>
      <c r="LU5" s="424"/>
      <c r="LV5" s="424"/>
      <c r="LW5" s="424"/>
      <c r="LX5" s="424"/>
      <c r="LY5" s="424"/>
      <c r="LZ5" s="422"/>
      <c r="MA5" s="421"/>
      <c r="MB5" s="424"/>
      <c r="MC5" s="424"/>
      <c r="MD5" s="424"/>
      <c r="ME5" s="424"/>
      <c r="MF5" s="424"/>
      <c r="MG5" s="424"/>
      <c r="MH5" s="424"/>
      <c r="MI5" s="424"/>
      <c r="MJ5" s="424"/>
      <c r="MK5" s="424"/>
      <c r="ML5" s="424"/>
      <c r="MM5" s="424"/>
      <c r="MN5" s="424"/>
      <c r="MO5" s="424"/>
      <c r="MP5" s="424"/>
      <c r="MQ5" s="424"/>
      <c r="MR5" s="424"/>
      <c r="MS5" s="424"/>
      <c r="MT5" s="424"/>
      <c r="MU5" s="424"/>
      <c r="MV5" s="424"/>
      <c r="MW5" s="424"/>
      <c r="MX5" s="422"/>
      <c r="MY5" s="421"/>
      <c r="MZ5" s="424"/>
      <c r="NA5" s="424"/>
      <c r="NB5" s="424"/>
      <c r="NC5" s="424"/>
      <c r="ND5" s="424"/>
      <c r="NE5" s="424"/>
      <c r="NF5" s="424"/>
      <c r="NG5" s="424"/>
      <c r="NH5" s="424"/>
      <c r="NI5" s="424"/>
      <c r="NJ5" s="424"/>
      <c r="NK5" s="424"/>
      <c r="NL5" s="424"/>
      <c r="NM5" s="424"/>
      <c r="NN5" s="424"/>
      <c r="NO5" s="424"/>
      <c r="NP5" s="424"/>
      <c r="NQ5" s="424"/>
      <c r="NR5" s="424"/>
      <c r="NS5" s="424"/>
      <c r="NT5" s="424"/>
      <c r="NU5" s="424"/>
      <c r="NV5" s="422"/>
      <c r="NW5" s="421"/>
      <c r="NX5" s="424"/>
      <c r="NY5" s="424"/>
      <c r="NZ5" s="424"/>
      <c r="OA5" s="424"/>
      <c r="OB5" s="424"/>
      <c r="OC5" s="424"/>
      <c r="OD5" s="424"/>
      <c r="OE5" s="424"/>
      <c r="OF5" s="424"/>
      <c r="OG5" s="424"/>
      <c r="OH5" s="424"/>
      <c r="OI5" s="424"/>
      <c r="OJ5" s="424"/>
      <c r="OK5" s="424"/>
      <c r="OL5" s="424"/>
      <c r="OM5" s="424"/>
      <c r="ON5" s="424"/>
      <c r="OO5" s="424"/>
      <c r="OP5" s="424"/>
      <c r="OQ5" s="424"/>
      <c r="OR5" s="424"/>
      <c r="OS5" s="424"/>
      <c r="OT5" s="422"/>
      <c r="OU5" s="421"/>
      <c r="OV5" s="424"/>
      <c r="OW5" s="424"/>
      <c r="OX5" s="424"/>
      <c r="OY5" s="424"/>
      <c r="OZ5" s="424"/>
      <c r="PA5" s="424"/>
      <c r="PB5" s="424"/>
      <c r="PC5" s="424"/>
      <c r="PD5" s="424"/>
      <c r="PE5" s="424"/>
      <c r="PF5" s="424"/>
      <c r="PG5" s="424"/>
      <c r="PH5" s="424"/>
      <c r="PI5" s="424"/>
      <c r="PJ5" s="424"/>
      <c r="PK5" s="424"/>
      <c r="PL5" s="424"/>
      <c r="PM5" s="424"/>
      <c r="PN5" s="424"/>
      <c r="PO5" s="424"/>
      <c r="PP5" s="424"/>
      <c r="PQ5" s="424"/>
      <c r="PR5" s="422"/>
      <c r="PS5" s="421"/>
      <c r="PT5" s="424"/>
      <c r="PU5" s="424"/>
      <c r="PV5" s="424"/>
      <c r="PW5" s="424"/>
      <c r="PX5" s="424"/>
      <c r="PY5" s="424"/>
      <c r="PZ5" s="424"/>
      <c r="QA5" s="424"/>
      <c r="QB5" s="424"/>
      <c r="QC5" s="424"/>
      <c r="QD5" s="424"/>
      <c r="QE5" s="424"/>
      <c r="QF5" s="424"/>
      <c r="QG5" s="424"/>
      <c r="QH5" s="424"/>
      <c r="QI5" s="424"/>
      <c r="QJ5" s="424"/>
      <c r="QK5" s="424"/>
      <c r="QL5" s="424"/>
      <c r="QM5" s="424"/>
      <c r="QN5" s="424"/>
      <c r="QO5" s="424"/>
      <c r="QP5" s="422"/>
      <c r="QQ5" s="421"/>
      <c r="QR5" s="424"/>
      <c r="QS5" s="424"/>
      <c r="QT5" s="424"/>
      <c r="QU5" s="424"/>
      <c r="QV5" s="424"/>
      <c r="QW5" s="424"/>
      <c r="QX5" s="424"/>
      <c r="QY5" s="424"/>
      <c r="QZ5" s="424"/>
      <c r="RA5" s="424"/>
      <c r="RB5" s="424"/>
      <c r="RC5" s="424"/>
      <c r="RD5" s="424"/>
      <c r="RE5" s="424"/>
      <c r="RF5" s="424"/>
      <c r="RG5" s="424"/>
      <c r="RH5" s="424"/>
      <c r="RI5" s="424"/>
      <c r="RJ5" s="424"/>
      <c r="RK5" s="424"/>
      <c r="RL5" s="424"/>
      <c r="RM5" s="424"/>
      <c r="RN5" s="422"/>
      <c r="RO5" s="421"/>
      <c r="RP5" s="424"/>
      <c r="RQ5" s="424"/>
      <c r="RR5" s="424"/>
      <c r="RS5" s="424"/>
      <c r="RT5" s="424"/>
      <c r="RU5" s="424"/>
      <c r="RV5" s="424"/>
      <c r="RW5" s="424"/>
      <c r="RX5" s="424"/>
      <c r="RY5" s="424"/>
      <c r="RZ5" s="424"/>
      <c r="SA5" s="424"/>
      <c r="SB5" s="424"/>
      <c r="SC5" s="424"/>
      <c r="SD5" s="424"/>
      <c r="SE5" s="424"/>
      <c r="SF5" s="424"/>
      <c r="SG5" s="424"/>
      <c r="SH5" s="424"/>
      <c r="SI5" s="424"/>
      <c r="SJ5" s="424"/>
      <c r="SK5" s="424"/>
      <c r="SL5" s="422"/>
      <c r="SM5" s="421"/>
      <c r="SN5" s="424"/>
      <c r="SO5" s="424"/>
      <c r="SP5" s="424"/>
      <c r="SQ5" s="424"/>
      <c r="SR5" s="424"/>
      <c r="SS5" s="424"/>
      <c r="ST5" s="424"/>
      <c r="SU5" s="424"/>
      <c r="SV5" s="424"/>
      <c r="SW5" s="424"/>
      <c r="SX5" s="424"/>
      <c r="SY5" s="424"/>
      <c r="SZ5" s="424"/>
      <c r="TA5" s="424"/>
      <c r="TB5" s="424"/>
      <c r="TC5" s="424"/>
      <c r="TD5" s="424"/>
      <c r="TE5" s="424"/>
      <c r="TF5" s="424"/>
      <c r="TG5" s="424"/>
      <c r="TH5" s="424"/>
      <c r="TI5" s="424"/>
      <c r="TJ5" s="422"/>
      <c r="TK5" s="421"/>
      <c r="TL5" s="424"/>
      <c r="TM5" s="424"/>
      <c r="TN5" s="424"/>
      <c r="TO5" s="424"/>
      <c r="TP5" s="424"/>
      <c r="TQ5" s="424"/>
      <c r="TR5" s="424"/>
      <c r="TS5" s="424"/>
      <c r="TT5" s="424"/>
      <c r="TU5" s="424"/>
      <c r="TV5" s="424"/>
      <c r="TW5" s="424"/>
      <c r="TX5" s="424"/>
      <c r="TY5" s="424"/>
      <c r="TZ5" s="424"/>
      <c r="UA5" s="424"/>
      <c r="UB5" s="424"/>
      <c r="UC5" s="424"/>
      <c r="UD5" s="424"/>
      <c r="UE5" s="424"/>
      <c r="UF5" s="424"/>
      <c r="UG5" s="424"/>
      <c r="UH5" s="422"/>
      <c r="UI5" s="421"/>
      <c r="UJ5" s="424"/>
      <c r="UK5" s="424"/>
      <c r="UL5" s="424"/>
      <c r="UM5" s="424"/>
      <c r="UN5" s="424"/>
      <c r="UO5" s="424"/>
      <c r="UP5" s="424"/>
      <c r="UQ5" s="424"/>
      <c r="UR5" s="424"/>
      <c r="US5" s="424"/>
      <c r="UT5" s="424"/>
      <c r="UU5" s="424"/>
      <c r="UV5" s="424"/>
      <c r="UW5" s="424"/>
      <c r="UX5" s="424"/>
      <c r="UY5" s="424"/>
      <c r="UZ5" s="424"/>
      <c r="VA5" s="424"/>
      <c r="VB5" s="424"/>
      <c r="VC5" s="424"/>
      <c r="VD5" s="424"/>
      <c r="VE5" s="424"/>
      <c r="VF5" s="422"/>
      <c r="VG5" s="421"/>
      <c r="VH5" s="424"/>
      <c r="VI5" s="424"/>
      <c r="VJ5" s="424"/>
      <c r="VK5" s="424"/>
      <c r="VL5" s="424"/>
      <c r="VM5" s="424"/>
      <c r="VN5" s="424"/>
      <c r="VO5" s="424"/>
      <c r="VP5" s="424"/>
      <c r="VQ5" s="424"/>
      <c r="VR5" s="424"/>
      <c r="VS5" s="424"/>
      <c r="VT5" s="424"/>
      <c r="VU5" s="424"/>
      <c r="VV5" s="424"/>
      <c r="VW5" s="424"/>
      <c r="VX5" s="424"/>
      <c r="VY5" s="424"/>
      <c r="VZ5" s="424"/>
      <c r="WA5" s="424"/>
      <c r="WB5" s="424"/>
      <c r="WC5" s="424"/>
      <c r="WD5" s="422"/>
      <c r="WE5" s="421"/>
      <c r="WF5" s="424"/>
      <c r="WG5" s="424"/>
      <c r="WH5" s="424"/>
      <c r="WI5" s="424"/>
      <c r="WJ5" s="424"/>
      <c r="WK5" s="424"/>
      <c r="WL5" s="424"/>
      <c r="WM5" s="424"/>
      <c r="WN5" s="424"/>
      <c r="WO5" s="424"/>
      <c r="WP5" s="424"/>
      <c r="WQ5" s="424"/>
      <c r="WR5" s="424"/>
      <c r="WS5" s="424"/>
      <c r="WT5" s="424"/>
      <c r="WU5" s="424"/>
      <c r="WV5" s="424"/>
      <c r="WW5" s="424"/>
      <c r="WX5" s="424"/>
      <c r="WY5" s="424"/>
      <c r="WZ5" s="424"/>
      <c r="XA5" s="424"/>
      <c r="XB5" s="422"/>
      <c r="XC5" s="421"/>
      <c r="XD5" s="424"/>
      <c r="XE5" s="424"/>
      <c r="XF5" s="424"/>
      <c r="XG5" s="424"/>
      <c r="XH5" s="424"/>
      <c r="XI5" s="424"/>
      <c r="XJ5" s="424"/>
      <c r="XK5" s="424"/>
      <c r="XL5" s="424"/>
      <c r="XM5" s="424"/>
      <c r="XN5" s="424"/>
      <c r="XO5" s="424"/>
      <c r="XP5" s="424"/>
      <c r="XQ5" s="424"/>
      <c r="XR5" s="424"/>
      <c r="XS5" s="424"/>
      <c r="XT5" s="424"/>
      <c r="XU5" s="424"/>
      <c r="XV5" s="424"/>
      <c r="XW5" s="424"/>
      <c r="XX5" s="424"/>
      <c r="XY5" s="424"/>
      <c r="XZ5" s="422"/>
      <c r="YA5" s="421"/>
      <c r="YB5" s="424"/>
      <c r="YC5" s="424"/>
      <c r="YD5" s="424"/>
      <c r="YE5" s="424"/>
      <c r="YF5" s="424"/>
      <c r="YG5" s="424"/>
      <c r="YH5" s="424"/>
      <c r="YI5" s="424"/>
      <c r="YJ5" s="424"/>
      <c r="YK5" s="424"/>
      <c r="YL5" s="424"/>
      <c r="YM5" s="424"/>
      <c r="YN5" s="424"/>
      <c r="YO5" s="424"/>
      <c r="YP5" s="424"/>
      <c r="YQ5" s="424"/>
      <c r="YR5" s="424"/>
      <c r="YS5" s="424"/>
      <c r="YT5" s="424"/>
      <c r="YU5" s="424"/>
      <c r="YV5" s="424"/>
      <c r="YW5" s="424"/>
      <c r="YX5" s="422"/>
      <c r="YY5" s="421"/>
      <c r="YZ5" s="424"/>
      <c r="ZA5" s="424"/>
      <c r="ZB5" s="424"/>
      <c r="ZC5" s="424"/>
      <c r="ZD5" s="424"/>
      <c r="ZE5" s="424"/>
      <c r="ZF5" s="424"/>
      <c r="ZG5" s="424"/>
      <c r="ZH5" s="424"/>
      <c r="ZI5" s="424"/>
      <c r="ZJ5" s="424"/>
      <c r="ZK5" s="424"/>
      <c r="ZL5" s="424"/>
      <c r="ZM5" s="424"/>
      <c r="ZN5" s="424"/>
      <c r="ZO5" s="424"/>
      <c r="ZP5" s="424"/>
      <c r="ZQ5" s="424"/>
      <c r="ZR5" s="424"/>
      <c r="ZS5" s="424"/>
      <c r="ZT5" s="424"/>
      <c r="ZU5" s="424"/>
      <c r="ZV5" s="422"/>
      <c r="ZW5" s="421"/>
      <c r="ZX5" s="424"/>
      <c r="ZY5" s="424"/>
      <c r="ZZ5" s="424"/>
      <c r="AAA5" s="424"/>
      <c r="AAB5" s="424"/>
      <c r="AAC5" s="424"/>
      <c r="AAD5" s="424"/>
      <c r="AAE5" s="424"/>
      <c r="AAF5" s="424"/>
      <c r="AAG5" s="424"/>
      <c r="AAH5" s="424"/>
      <c r="AAI5" s="424"/>
      <c r="AAJ5" s="424"/>
      <c r="AAK5" s="424"/>
      <c r="AAL5" s="424"/>
      <c r="AAM5" s="424"/>
      <c r="AAN5" s="424"/>
      <c r="AAO5" s="424"/>
      <c r="AAP5" s="424"/>
      <c r="AAQ5" s="424"/>
      <c r="AAR5" s="424"/>
      <c r="AAS5" s="424"/>
      <c r="AAT5" s="422"/>
      <c r="AAU5" s="421"/>
      <c r="AAV5" s="424"/>
      <c r="AAW5" s="424"/>
      <c r="AAX5" s="424"/>
      <c r="AAY5" s="424"/>
      <c r="AAZ5" s="424"/>
      <c r="ABA5" s="424"/>
      <c r="ABB5" s="424"/>
      <c r="ABC5" s="424"/>
      <c r="ABD5" s="424"/>
      <c r="ABE5" s="424"/>
      <c r="ABF5" s="424"/>
      <c r="ABG5" s="424"/>
      <c r="ABH5" s="424"/>
      <c r="ABI5" s="424"/>
      <c r="ABJ5" s="424"/>
      <c r="ABK5" s="424"/>
      <c r="ABL5" s="424"/>
      <c r="ABM5" s="424"/>
      <c r="ABN5" s="424"/>
      <c r="ABO5" s="424"/>
      <c r="ABP5" s="424"/>
      <c r="ABQ5" s="424"/>
      <c r="ABR5" s="422"/>
      <c r="ABS5" s="421"/>
      <c r="ABT5" s="424"/>
      <c r="ABU5" s="424"/>
      <c r="ABV5" s="424"/>
      <c r="ABW5" s="424"/>
      <c r="ABX5" s="424"/>
      <c r="ABY5" s="424"/>
      <c r="ABZ5" s="424"/>
      <c r="ACA5" s="424"/>
      <c r="ACB5" s="424"/>
      <c r="ACC5" s="424"/>
      <c r="ACD5" s="424"/>
      <c r="ACE5" s="424"/>
      <c r="ACF5" s="424"/>
      <c r="ACG5" s="424"/>
      <c r="ACH5" s="424"/>
      <c r="ACI5" s="424"/>
      <c r="ACJ5" s="424"/>
      <c r="ACK5" s="424"/>
      <c r="ACL5" s="424"/>
      <c r="ACM5" s="424"/>
      <c r="ACN5" s="424"/>
      <c r="ACO5" s="424"/>
      <c r="ACP5" s="422"/>
    </row>
    <row r="6" spans="1:770" ht="23.25" customHeight="1">
      <c r="A6" s="423"/>
      <c r="B6" s="420"/>
      <c r="C6" s="425" t="s">
        <v>171</v>
      </c>
      <c r="D6" s="426"/>
      <c r="E6" s="425" t="s">
        <v>172</v>
      </c>
      <c r="F6" s="426"/>
      <c r="G6" s="425" t="s">
        <v>9</v>
      </c>
      <c r="H6" s="426"/>
      <c r="I6" s="425" t="s">
        <v>173</v>
      </c>
      <c r="J6" s="426"/>
      <c r="K6" s="425" t="s">
        <v>174</v>
      </c>
      <c r="L6" s="426"/>
      <c r="M6" s="425" t="s">
        <v>175</v>
      </c>
      <c r="N6" s="426"/>
      <c r="O6" s="425" t="s">
        <v>176</v>
      </c>
      <c r="P6" s="426"/>
      <c r="Q6" s="425" t="s">
        <v>177</v>
      </c>
      <c r="R6" s="426"/>
      <c r="S6" s="425" t="s">
        <v>14</v>
      </c>
      <c r="T6" s="426"/>
      <c r="U6" s="425" t="s">
        <v>178</v>
      </c>
      <c r="V6" s="426"/>
      <c r="W6" s="425" t="s">
        <v>87</v>
      </c>
      <c r="X6" s="426"/>
      <c r="Y6" s="425" t="s">
        <v>179</v>
      </c>
      <c r="Z6" s="426"/>
      <c r="AA6" s="425" t="s">
        <v>171</v>
      </c>
      <c r="AB6" s="426"/>
      <c r="AC6" s="425" t="s">
        <v>172</v>
      </c>
      <c r="AD6" s="426"/>
      <c r="AE6" s="425" t="s">
        <v>9</v>
      </c>
      <c r="AF6" s="426"/>
      <c r="AG6" s="425" t="s">
        <v>173</v>
      </c>
      <c r="AH6" s="426"/>
      <c r="AI6" s="425" t="s">
        <v>174</v>
      </c>
      <c r="AJ6" s="426"/>
      <c r="AK6" s="425" t="s">
        <v>175</v>
      </c>
      <c r="AL6" s="426"/>
      <c r="AM6" s="425" t="s">
        <v>176</v>
      </c>
      <c r="AN6" s="426"/>
      <c r="AO6" s="425" t="s">
        <v>177</v>
      </c>
      <c r="AP6" s="426"/>
      <c r="AQ6" s="425" t="s">
        <v>14</v>
      </c>
      <c r="AR6" s="426"/>
      <c r="AS6" s="425" t="s">
        <v>178</v>
      </c>
      <c r="AT6" s="426"/>
      <c r="AU6" s="425" t="s">
        <v>87</v>
      </c>
      <c r="AV6" s="426"/>
      <c r="AW6" s="425" t="s">
        <v>179</v>
      </c>
      <c r="AX6" s="426"/>
      <c r="AY6" s="425" t="s">
        <v>171</v>
      </c>
      <c r="AZ6" s="426"/>
      <c r="BA6" s="425" t="s">
        <v>172</v>
      </c>
      <c r="BB6" s="426"/>
      <c r="BC6" s="425" t="s">
        <v>9</v>
      </c>
      <c r="BD6" s="426"/>
      <c r="BE6" s="425" t="s">
        <v>173</v>
      </c>
      <c r="BF6" s="426"/>
      <c r="BG6" s="425" t="s">
        <v>174</v>
      </c>
      <c r="BH6" s="426"/>
      <c r="BI6" s="425" t="s">
        <v>175</v>
      </c>
      <c r="BJ6" s="426"/>
      <c r="BK6" s="425" t="s">
        <v>176</v>
      </c>
      <c r="BL6" s="426"/>
      <c r="BM6" s="425" t="s">
        <v>177</v>
      </c>
      <c r="BN6" s="426"/>
      <c r="BO6" s="425" t="s">
        <v>14</v>
      </c>
      <c r="BP6" s="426"/>
      <c r="BQ6" s="425" t="s">
        <v>178</v>
      </c>
      <c r="BR6" s="426"/>
      <c r="BS6" s="425" t="s">
        <v>87</v>
      </c>
      <c r="BT6" s="426"/>
      <c r="BU6" s="425" t="s">
        <v>179</v>
      </c>
      <c r="BV6" s="426"/>
      <c r="BW6" s="425" t="s">
        <v>171</v>
      </c>
      <c r="BX6" s="426"/>
      <c r="BY6" s="425" t="s">
        <v>172</v>
      </c>
      <c r="BZ6" s="426"/>
      <c r="CA6" s="425" t="s">
        <v>9</v>
      </c>
      <c r="CB6" s="426"/>
      <c r="CC6" s="425" t="s">
        <v>173</v>
      </c>
      <c r="CD6" s="426"/>
      <c r="CE6" s="425" t="s">
        <v>174</v>
      </c>
      <c r="CF6" s="426"/>
      <c r="CG6" s="425" t="s">
        <v>175</v>
      </c>
      <c r="CH6" s="426"/>
      <c r="CI6" s="425" t="s">
        <v>176</v>
      </c>
      <c r="CJ6" s="426"/>
      <c r="CK6" s="425" t="s">
        <v>177</v>
      </c>
      <c r="CL6" s="426"/>
      <c r="CM6" s="425" t="s">
        <v>14</v>
      </c>
      <c r="CN6" s="426"/>
      <c r="CO6" s="425" t="s">
        <v>178</v>
      </c>
      <c r="CP6" s="426"/>
      <c r="CQ6" s="425" t="s">
        <v>87</v>
      </c>
      <c r="CR6" s="426"/>
      <c r="CS6" s="425" t="s">
        <v>179</v>
      </c>
      <c r="CT6" s="426"/>
      <c r="CU6" s="425" t="s">
        <v>171</v>
      </c>
      <c r="CV6" s="426"/>
      <c r="CW6" s="425" t="s">
        <v>172</v>
      </c>
      <c r="CX6" s="426"/>
      <c r="CY6" s="425" t="s">
        <v>9</v>
      </c>
      <c r="CZ6" s="426"/>
      <c r="DA6" s="425" t="s">
        <v>173</v>
      </c>
      <c r="DB6" s="426"/>
      <c r="DC6" s="425" t="s">
        <v>174</v>
      </c>
      <c r="DD6" s="426"/>
      <c r="DE6" s="425" t="s">
        <v>175</v>
      </c>
      <c r="DF6" s="426"/>
      <c r="DG6" s="425" t="s">
        <v>176</v>
      </c>
      <c r="DH6" s="426"/>
      <c r="DI6" s="425" t="s">
        <v>177</v>
      </c>
      <c r="DJ6" s="426"/>
      <c r="DK6" s="425" t="s">
        <v>14</v>
      </c>
      <c r="DL6" s="426"/>
      <c r="DM6" s="425" t="s">
        <v>178</v>
      </c>
      <c r="DN6" s="426"/>
      <c r="DO6" s="425" t="s">
        <v>87</v>
      </c>
      <c r="DP6" s="426"/>
      <c r="DQ6" s="425" t="s">
        <v>179</v>
      </c>
      <c r="DR6" s="426"/>
      <c r="DS6" s="425" t="s">
        <v>171</v>
      </c>
      <c r="DT6" s="426"/>
      <c r="DU6" s="425" t="s">
        <v>172</v>
      </c>
      <c r="DV6" s="426"/>
      <c r="DW6" s="425" t="s">
        <v>9</v>
      </c>
      <c r="DX6" s="426"/>
      <c r="DY6" s="425" t="s">
        <v>173</v>
      </c>
      <c r="DZ6" s="426"/>
      <c r="EA6" s="425" t="s">
        <v>174</v>
      </c>
      <c r="EB6" s="426"/>
      <c r="EC6" s="425" t="s">
        <v>175</v>
      </c>
      <c r="ED6" s="426"/>
      <c r="EE6" s="425" t="s">
        <v>176</v>
      </c>
      <c r="EF6" s="426"/>
      <c r="EG6" s="425" t="s">
        <v>177</v>
      </c>
      <c r="EH6" s="426"/>
      <c r="EI6" s="425" t="s">
        <v>14</v>
      </c>
      <c r="EJ6" s="426"/>
      <c r="EK6" s="425" t="s">
        <v>178</v>
      </c>
      <c r="EL6" s="426"/>
      <c r="EM6" s="425" t="s">
        <v>87</v>
      </c>
      <c r="EN6" s="426"/>
      <c r="EO6" s="425" t="s">
        <v>179</v>
      </c>
      <c r="EP6" s="426"/>
      <c r="EQ6" s="425" t="s">
        <v>171</v>
      </c>
      <c r="ER6" s="426"/>
      <c r="ES6" s="425" t="s">
        <v>172</v>
      </c>
      <c r="ET6" s="426"/>
      <c r="EU6" s="425" t="s">
        <v>9</v>
      </c>
      <c r="EV6" s="426"/>
      <c r="EW6" s="425" t="s">
        <v>173</v>
      </c>
      <c r="EX6" s="426"/>
      <c r="EY6" s="425" t="s">
        <v>174</v>
      </c>
      <c r="EZ6" s="426"/>
      <c r="FA6" s="425" t="s">
        <v>175</v>
      </c>
      <c r="FB6" s="426"/>
      <c r="FC6" s="425" t="s">
        <v>176</v>
      </c>
      <c r="FD6" s="426"/>
      <c r="FE6" s="425" t="s">
        <v>177</v>
      </c>
      <c r="FF6" s="426"/>
      <c r="FG6" s="425" t="s">
        <v>14</v>
      </c>
      <c r="FH6" s="426"/>
      <c r="FI6" s="425" t="s">
        <v>178</v>
      </c>
      <c r="FJ6" s="426"/>
      <c r="FK6" s="425" t="s">
        <v>87</v>
      </c>
      <c r="FL6" s="426"/>
      <c r="FM6" s="425" t="s">
        <v>179</v>
      </c>
      <c r="FN6" s="426"/>
      <c r="FO6" s="425" t="s">
        <v>171</v>
      </c>
      <c r="FP6" s="426"/>
      <c r="FQ6" s="425" t="s">
        <v>172</v>
      </c>
      <c r="FR6" s="426"/>
      <c r="FS6" s="425" t="s">
        <v>9</v>
      </c>
      <c r="FT6" s="426"/>
      <c r="FU6" s="425" t="s">
        <v>173</v>
      </c>
      <c r="FV6" s="426"/>
      <c r="FW6" s="425" t="s">
        <v>174</v>
      </c>
      <c r="FX6" s="426"/>
      <c r="FY6" s="425" t="s">
        <v>175</v>
      </c>
      <c r="FZ6" s="426"/>
      <c r="GA6" s="425" t="s">
        <v>176</v>
      </c>
      <c r="GB6" s="426"/>
      <c r="GC6" s="425" t="s">
        <v>177</v>
      </c>
      <c r="GD6" s="426"/>
      <c r="GE6" s="425" t="s">
        <v>14</v>
      </c>
      <c r="GF6" s="426"/>
      <c r="GG6" s="425" t="s">
        <v>178</v>
      </c>
      <c r="GH6" s="426"/>
      <c r="GI6" s="425" t="s">
        <v>87</v>
      </c>
      <c r="GJ6" s="426"/>
      <c r="GK6" s="425" t="s">
        <v>179</v>
      </c>
      <c r="GL6" s="426"/>
      <c r="GM6" s="425" t="s">
        <v>171</v>
      </c>
      <c r="GN6" s="426"/>
      <c r="GO6" s="425" t="s">
        <v>172</v>
      </c>
      <c r="GP6" s="426"/>
      <c r="GQ6" s="425" t="s">
        <v>9</v>
      </c>
      <c r="GR6" s="426"/>
      <c r="GS6" s="425" t="s">
        <v>173</v>
      </c>
      <c r="GT6" s="426"/>
      <c r="GU6" s="425" t="s">
        <v>174</v>
      </c>
      <c r="GV6" s="426"/>
      <c r="GW6" s="425" t="s">
        <v>175</v>
      </c>
      <c r="GX6" s="426"/>
      <c r="GY6" s="425" t="s">
        <v>176</v>
      </c>
      <c r="GZ6" s="426"/>
      <c r="HA6" s="425" t="s">
        <v>177</v>
      </c>
      <c r="HB6" s="426"/>
      <c r="HC6" s="425" t="s">
        <v>14</v>
      </c>
      <c r="HD6" s="426"/>
      <c r="HE6" s="425" t="s">
        <v>178</v>
      </c>
      <c r="HF6" s="426"/>
      <c r="HG6" s="425" t="s">
        <v>87</v>
      </c>
      <c r="HH6" s="426"/>
      <c r="HI6" s="425" t="s">
        <v>179</v>
      </c>
      <c r="HJ6" s="426"/>
      <c r="HK6" s="425" t="s">
        <v>171</v>
      </c>
      <c r="HL6" s="426"/>
      <c r="HM6" s="425" t="s">
        <v>172</v>
      </c>
      <c r="HN6" s="426"/>
      <c r="HO6" s="425" t="s">
        <v>9</v>
      </c>
      <c r="HP6" s="426"/>
      <c r="HQ6" s="425" t="s">
        <v>173</v>
      </c>
      <c r="HR6" s="426"/>
      <c r="HS6" s="425" t="s">
        <v>174</v>
      </c>
      <c r="HT6" s="426"/>
      <c r="HU6" s="425" t="s">
        <v>175</v>
      </c>
      <c r="HV6" s="426"/>
      <c r="HW6" s="425" t="s">
        <v>176</v>
      </c>
      <c r="HX6" s="426"/>
      <c r="HY6" s="425" t="s">
        <v>177</v>
      </c>
      <c r="HZ6" s="426"/>
      <c r="IA6" s="425" t="s">
        <v>14</v>
      </c>
      <c r="IB6" s="426"/>
      <c r="IC6" s="425" t="s">
        <v>178</v>
      </c>
      <c r="ID6" s="426"/>
      <c r="IE6" s="425" t="s">
        <v>87</v>
      </c>
      <c r="IF6" s="426"/>
      <c r="IG6" s="425" t="s">
        <v>179</v>
      </c>
      <c r="IH6" s="426"/>
      <c r="II6" s="425" t="s">
        <v>171</v>
      </c>
      <c r="IJ6" s="426"/>
      <c r="IK6" s="425" t="s">
        <v>172</v>
      </c>
      <c r="IL6" s="426"/>
      <c r="IM6" s="425" t="s">
        <v>9</v>
      </c>
      <c r="IN6" s="426"/>
      <c r="IO6" s="425" t="s">
        <v>173</v>
      </c>
      <c r="IP6" s="426"/>
      <c r="IQ6" s="425" t="s">
        <v>174</v>
      </c>
      <c r="IR6" s="426"/>
      <c r="IS6" s="425" t="s">
        <v>175</v>
      </c>
      <c r="IT6" s="426"/>
      <c r="IU6" s="425" t="s">
        <v>176</v>
      </c>
      <c r="IV6" s="426"/>
      <c r="IW6" s="425" t="s">
        <v>177</v>
      </c>
      <c r="IX6" s="426"/>
      <c r="IY6" s="425" t="s">
        <v>14</v>
      </c>
      <c r="IZ6" s="426"/>
      <c r="JA6" s="425" t="s">
        <v>178</v>
      </c>
      <c r="JB6" s="426"/>
      <c r="JC6" s="425" t="s">
        <v>87</v>
      </c>
      <c r="JD6" s="426"/>
      <c r="JE6" s="425" t="s">
        <v>179</v>
      </c>
      <c r="JF6" s="426"/>
      <c r="JG6" s="425" t="s">
        <v>171</v>
      </c>
      <c r="JH6" s="426"/>
      <c r="JI6" s="425" t="s">
        <v>172</v>
      </c>
      <c r="JJ6" s="426"/>
      <c r="JK6" s="425" t="s">
        <v>9</v>
      </c>
      <c r="JL6" s="426"/>
      <c r="JM6" s="425" t="s">
        <v>173</v>
      </c>
      <c r="JN6" s="426"/>
      <c r="JO6" s="425" t="s">
        <v>174</v>
      </c>
      <c r="JP6" s="426"/>
      <c r="JQ6" s="425" t="s">
        <v>175</v>
      </c>
      <c r="JR6" s="426"/>
      <c r="JS6" s="425" t="s">
        <v>176</v>
      </c>
      <c r="JT6" s="426"/>
      <c r="JU6" s="425" t="s">
        <v>177</v>
      </c>
      <c r="JV6" s="426"/>
      <c r="JW6" s="425" t="s">
        <v>14</v>
      </c>
      <c r="JX6" s="426"/>
      <c r="JY6" s="425" t="s">
        <v>178</v>
      </c>
      <c r="JZ6" s="426"/>
      <c r="KA6" s="425" t="s">
        <v>87</v>
      </c>
      <c r="KB6" s="426"/>
      <c r="KC6" s="425" t="s">
        <v>179</v>
      </c>
      <c r="KD6" s="426"/>
      <c r="KE6" s="425" t="s">
        <v>171</v>
      </c>
      <c r="KF6" s="426"/>
      <c r="KG6" s="425" t="s">
        <v>172</v>
      </c>
      <c r="KH6" s="426"/>
      <c r="KI6" s="425" t="s">
        <v>9</v>
      </c>
      <c r="KJ6" s="426"/>
      <c r="KK6" s="425" t="s">
        <v>173</v>
      </c>
      <c r="KL6" s="426"/>
      <c r="KM6" s="425" t="s">
        <v>174</v>
      </c>
      <c r="KN6" s="426"/>
      <c r="KO6" s="425" t="s">
        <v>175</v>
      </c>
      <c r="KP6" s="426"/>
      <c r="KQ6" s="425" t="s">
        <v>176</v>
      </c>
      <c r="KR6" s="426"/>
      <c r="KS6" s="425" t="s">
        <v>177</v>
      </c>
      <c r="KT6" s="426"/>
      <c r="KU6" s="425" t="s">
        <v>14</v>
      </c>
      <c r="KV6" s="426"/>
      <c r="KW6" s="425" t="s">
        <v>178</v>
      </c>
      <c r="KX6" s="426"/>
      <c r="KY6" s="425" t="s">
        <v>87</v>
      </c>
      <c r="KZ6" s="426"/>
      <c r="LA6" s="425" t="s">
        <v>179</v>
      </c>
      <c r="LB6" s="426"/>
      <c r="LC6" s="425" t="s">
        <v>171</v>
      </c>
      <c r="LD6" s="426"/>
      <c r="LE6" s="425" t="s">
        <v>172</v>
      </c>
      <c r="LF6" s="426"/>
      <c r="LG6" s="425" t="s">
        <v>9</v>
      </c>
      <c r="LH6" s="426"/>
      <c r="LI6" s="425" t="s">
        <v>173</v>
      </c>
      <c r="LJ6" s="426"/>
      <c r="LK6" s="425" t="s">
        <v>174</v>
      </c>
      <c r="LL6" s="426"/>
      <c r="LM6" s="425" t="s">
        <v>175</v>
      </c>
      <c r="LN6" s="426"/>
      <c r="LO6" s="425" t="s">
        <v>176</v>
      </c>
      <c r="LP6" s="426"/>
      <c r="LQ6" s="425" t="s">
        <v>177</v>
      </c>
      <c r="LR6" s="426"/>
      <c r="LS6" s="425" t="s">
        <v>14</v>
      </c>
      <c r="LT6" s="426"/>
      <c r="LU6" s="425" t="s">
        <v>178</v>
      </c>
      <c r="LV6" s="426"/>
      <c r="LW6" s="425" t="s">
        <v>87</v>
      </c>
      <c r="LX6" s="426"/>
      <c r="LY6" s="425" t="s">
        <v>179</v>
      </c>
      <c r="LZ6" s="426"/>
      <c r="MA6" s="425" t="s">
        <v>171</v>
      </c>
      <c r="MB6" s="426"/>
      <c r="MC6" s="425" t="s">
        <v>172</v>
      </c>
      <c r="MD6" s="426"/>
      <c r="ME6" s="425" t="s">
        <v>9</v>
      </c>
      <c r="MF6" s="426"/>
      <c r="MG6" s="425" t="s">
        <v>173</v>
      </c>
      <c r="MH6" s="426"/>
      <c r="MI6" s="425" t="s">
        <v>174</v>
      </c>
      <c r="MJ6" s="426"/>
      <c r="MK6" s="425" t="s">
        <v>175</v>
      </c>
      <c r="ML6" s="426"/>
      <c r="MM6" s="425" t="s">
        <v>176</v>
      </c>
      <c r="MN6" s="426"/>
      <c r="MO6" s="425" t="s">
        <v>177</v>
      </c>
      <c r="MP6" s="426"/>
      <c r="MQ6" s="425" t="s">
        <v>14</v>
      </c>
      <c r="MR6" s="426"/>
      <c r="MS6" s="425" t="s">
        <v>178</v>
      </c>
      <c r="MT6" s="426"/>
      <c r="MU6" s="425" t="s">
        <v>87</v>
      </c>
      <c r="MV6" s="426"/>
      <c r="MW6" s="425" t="s">
        <v>179</v>
      </c>
      <c r="MX6" s="426"/>
      <c r="MY6" s="425" t="s">
        <v>171</v>
      </c>
      <c r="MZ6" s="426"/>
      <c r="NA6" s="425" t="s">
        <v>172</v>
      </c>
      <c r="NB6" s="426"/>
      <c r="NC6" s="425" t="s">
        <v>9</v>
      </c>
      <c r="ND6" s="426"/>
      <c r="NE6" s="425" t="s">
        <v>173</v>
      </c>
      <c r="NF6" s="426"/>
      <c r="NG6" s="425" t="s">
        <v>174</v>
      </c>
      <c r="NH6" s="426"/>
      <c r="NI6" s="425" t="s">
        <v>175</v>
      </c>
      <c r="NJ6" s="426"/>
      <c r="NK6" s="425" t="s">
        <v>176</v>
      </c>
      <c r="NL6" s="426"/>
      <c r="NM6" s="425" t="s">
        <v>177</v>
      </c>
      <c r="NN6" s="426"/>
      <c r="NO6" s="425" t="s">
        <v>14</v>
      </c>
      <c r="NP6" s="426"/>
      <c r="NQ6" s="425" t="s">
        <v>178</v>
      </c>
      <c r="NR6" s="426"/>
      <c r="NS6" s="425" t="s">
        <v>87</v>
      </c>
      <c r="NT6" s="426"/>
      <c r="NU6" s="425" t="s">
        <v>179</v>
      </c>
      <c r="NV6" s="426"/>
      <c r="NW6" s="425" t="s">
        <v>171</v>
      </c>
      <c r="NX6" s="426"/>
      <c r="NY6" s="425" t="s">
        <v>172</v>
      </c>
      <c r="NZ6" s="426"/>
      <c r="OA6" s="425" t="s">
        <v>9</v>
      </c>
      <c r="OB6" s="426"/>
      <c r="OC6" s="425" t="s">
        <v>173</v>
      </c>
      <c r="OD6" s="426"/>
      <c r="OE6" s="425" t="s">
        <v>174</v>
      </c>
      <c r="OF6" s="426"/>
      <c r="OG6" s="425" t="s">
        <v>175</v>
      </c>
      <c r="OH6" s="426"/>
      <c r="OI6" s="425" t="s">
        <v>176</v>
      </c>
      <c r="OJ6" s="426"/>
      <c r="OK6" s="425" t="s">
        <v>177</v>
      </c>
      <c r="OL6" s="426"/>
      <c r="OM6" s="425" t="s">
        <v>14</v>
      </c>
      <c r="ON6" s="426"/>
      <c r="OO6" s="425" t="s">
        <v>178</v>
      </c>
      <c r="OP6" s="426"/>
      <c r="OQ6" s="425" t="s">
        <v>87</v>
      </c>
      <c r="OR6" s="426"/>
      <c r="OS6" s="425" t="s">
        <v>179</v>
      </c>
      <c r="OT6" s="426"/>
      <c r="OU6" s="425" t="s">
        <v>171</v>
      </c>
      <c r="OV6" s="426"/>
      <c r="OW6" s="425" t="s">
        <v>172</v>
      </c>
      <c r="OX6" s="426"/>
      <c r="OY6" s="425" t="s">
        <v>9</v>
      </c>
      <c r="OZ6" s="426"/>
      <c r="PA6" s="425" t="s">
        <v>173</v>
      </c>
      <c r="PB6" s="426"/>
      <c r="PC6" s="425" t="s">
        <v>174</v>
      </c>
      <c r="PD6" s="426"/>
      <c r="PE6" s="425" t="s">
        <v>175</v>
      </c>
      <c r="PF6" s="426"/>
      <c r="PG6" s="425" t="s">
        <v>176</v>
      </c>
      <c r="PH6" s="426"/>
      <c r="PI6" s="425" t="s">
        <v>177</v>
      </c>
      <c r="PJ6" s="426"/>
      <c r="PK6" s="425" t="s">
        <v>14</v>
      </c>
      <c r="PL6" s="426"/>
      <c r="PM6" s="425" t="s">
        <v>178</v>
      </c>
      <c r="PN6" s="426"/>
      <c r="PO6" s="425" t="s">
        <v>87</v>
      </c>
      <c r="PP6" s="426"/>
      <c r="PQ6" s="425" t="s">
        <v>179</v>
      </c>
      <c r="PR6" s="426"/>
      <c r="PS6" s="425" t="s">
        <v>171</v>
      </c>
      <c r="PT6" s="426"/>
      <c r="PU6" s="425" t="s">
        <v>172</v>
      </c>
      <c r="PV6" s="426"/>
      <c r="PW6" s="425" t="s">
        <v>9</v>
      </c>
      <c r="PX6" s="426"/>
      <c r="PY6" s="425" t="s">
        <v>173</v>
      </c>
      <c r="PZ6" s="426"/>
      <c r="QA6" s="425" t="s">
        <v>174</v>
      </c>
      <c r="QB6" s="426"/>
      <c r="QC6" s="425" t="s">
        <v>175</v>
      </c>
      <c r="QD6" s="426"/>
      <c r="QE6" s="425" t="s">
        <v>176</v>
      </c>
      <c r="QF6" s="426"/>
      <c r="QG6" s="425" t="s">
        <v>177</v>
      </c>
      <c r="QH6" s="426"/>
      <c r="QI6" s="425" t="s">
        <v>14</v>
      </c>
      <c r="QJ6" s="426"/>
      <c r="QK6" s="425" t="s">
        <v>178</v>
      </c>
      <c r="QL6" s="426"/>
      <c r="QM6" s="425" t="s">
        <v>87</v>
      </c>
      <c r="QN6" s="426"/>
      <c r="QO6" s="425" t="s">
        <v>179</v>
      </c>
      <c r="QP6" s="426"/>
      <c r="QQ6" s="425" t="s">
        <v>171</v>
      </c>
      <c r="QR6" s="426"/>
      <c r="QS6" s="425" t="s">
        <v>172</v>
      </c>
      <c r="QT6" s="426"/>
      <c r="QU6" s="425" t="s">
        <v>9</v>
      </c>
      <c r="QV6" s="426"/>
      <c r="QW6" s="425" t="s">
        <v>173</v>
      </c>
      <c r="QX6" s="426"/>
      <c r="QY6" s="425" t="s">
        <v>174</v>
      </c>
      <c r="QZ6" s="426"/>
      <c r="RA6" s="425" t="s">
        <v>175</v>
      </c>
      <c r="RB6" s="426"/>
      <c r="RC6" s="425" t="s">
        <v>176</v>
      </c>
      <c r="RD6" s="426"/>
      <c r="RE6" s="425" t="s">
        <v>177</v>
      </c>
      <c r="RF6" s="426"/>
      <c r="RG6" s="425" t="s">
        <v>14</v>
      </c>
      <c r="RH6" s="426"/>
      <c r="RI6" s="425" t="s">
        <v>178</v>
      </c>
      <c r="RJ6" s="426"/>
      <c r="RK6" s="425" t="s">
        <v>87</v>
      </c>
      <c r="RL6" s="426"/>
      <c r="RM6" s="425" t="s">
        <v>179</v>
      </c>
      <c r="RN6" s="426"/>
      <c r="RO6" s="425" t="s">
        <v>171</v>
      </c>
      <c r="RP6" s="426"/>
      <c r="RQ6" s="425" t="s">
        <v>172</v>
      </c>
      <c r="RR6" s="426"/>
      <c r="RS6" s="425" t="s">
        <v>9</v>
      </c>
      <c r="RT6" s="426"/>
      <c r="RU6" s="425" t="s">
        <v>173</v>
      </c>
      <c r="RV6" s="426"/>
      <c r="RW6" s="425" t="s">
        <v>174</v>
      </c>
      <c r="RX6" s="426"/>
      <c r="RY6" s="425" t="s">
        <v>175</v>
      </c>
      <c r="RZ6" s="426"/>
      <c r="SA6" s="425" t="s">
        <v>176</v>
      </c>
      <c r="SB6" s="426"/>
      <c r="SC6" s="425" t="s">
        <v>177</v>
      </c>
      <c r="SD6" s="426"/>
      <c r="SE6" s="425" t="s">
        <v>14</v>
      </c>
      <c r="SF6" s="426"/>
      <c r="SG6" s="425" t="s">
        <v>178</v>
      </c>
      <c r="SH6" s="426"/>
      <c r="SI6" s="425" t="s">
        <v>87</v>
      </c>
      <c r="SJ6" s="426"/>
      <c r="SK6" s="425" t="s">
        <v>179</v>
      </c>
      <c r="SL6" s="426"/>
      <c r="SM6" s="425" t="s">
        <v>171</v>
      </c>
      <c r="SN6" s="426"/>
      <c r="SO6" s="425" t="s">
        <v>172</v>
      </c>
      <c r="SP6" s="426"/>
      <c r="SQ6" s="425" t="s">
        <v>9</v>
      </c>
      <c r="SR6" s="426"/>
      <c r="SS6" s="425" t="s">
        <v>173</v>
      </c>
      <c r="ST6" s="426"/>
      <c r="SU6" s="425" t="s">
        <v>174</v>
      </c>
      <c r="SV6" s="426"/>
      <c r="SW6" s="425" t="s">
        <v>175</v>
      </c>
      <c r="SX6" s="426"/>
      <c r="SY6" s="425" t="s">
        <v>176</v>
      </c>
      <c r="SZ6" s="426"/>
      <c r="TA6" s="425" t="s">
        <v>177</v>
      </c>
      <c r="TB6" s="426"/>
      <c r="TC6" s="425" t="s">
        <v>14</v>
      </c>
      <c r="TD6" s="426"/>
      <c r="TE6" s="425" t="s">
        <v>178</v>
      </c>
      <c r="TF6" s="426"/>
      <c r="TG6" s="425" t="s">
        <v>87</v>
      </c>
      <c r="TH6" s="426"/>
      <c r="TI6" s="425" t="s">
        <v>179</v>
      </c>
      <c r="TJ6" s="426"/>
      <c r="TK6" s="425" t="s">
        <v>171</v>
      </c>
      <c r="TL6" s="426"/>
      <c r="TM6" s="425" t="s">
        <v>172</v>
      </c>
      <c r="TN6" s="426"/>
      <c r="TO6" s="425" t="s">
        <v>9</v>
      </c>
      <c r="TP6" s="426"/>
      <c r="TQ6" s="425" t="s">
        <v>173</v>
      </c>
      <c r="TR6" s="426"/>
      <c r="TS6" s="425" t="s">
        <v>174</v>
      </c>
      <c r="TT6" s="426"/>
      <c r="TU6" s="425" t="s">
        <v>175</v>
      </c>
      <c r="TV6" s="426"/>
      <c r="TW6" s="425" t="s">
        <v>176</v>
      </c>
      <c r="TX6" s="426"/>
      <c r="TY6" s="425" t="s">
        <v>177</v>
      </c>
      <c r="TZ6" s="426"/>
      <c r="UA6" s="425" t="s">
        <v>14</v>
      </c>
      <c r="UB6" s="426"/>
      <c r="UC6" s="425" t="s">
        <v>178</v>
      </c>
      <c r="UD6" s="426"/>
      <c r="UE6" s="425" t="s">
        <v>87</v>
      </c>
      <c r="UF6" s="426"/>
      <c r="UG6" s="425" t="s">
        <v>179</v>
      </c>
      <c r="UH6" s="426"/>
      <c r="UI6" s="425" t="s">
        <v>171</v>
      </c>
      <c r="UJ6" s="426"/>
      <c r="UK6" s="425" t="s">
        <v>172</v>
      </c>
      <c r="UL6" s="426"/>
      <c r="UM6" s="425" t="s">
        <v>9</v>
      </c>
      <c r="UN6" s="426"/>
      <c r="UO6" s="425" t="s">
        <v>173</v>
      </c>
      <c r="UP6" s="426"/>
      <c r="UQ6" s="425" t="s">
        <v>174</v>
      </c>
      <c r="UR6" s="426"/>
      <c r="US6" s="425" t="s">
        <v>175</v>
      </c>
      <c r="UT6" s="426"/>
      <c r="UU6" s="425" t="s">
        <v>176</v>
      </c>
      <c r="UV6" s="426"/>
      <c r="UW6" s="425" t="s">
        <v>177</v>
      </c>
      <c r="UX6" s="426"/>
      <c r="UY6" s="425" t="s">
        <v>14</v>
      </c>
      <c r="UZ6" s="426"/>
      <c r="VA6" s="425" t="s">
        <v>178</v>
      </c>
      <c r="VB6" s="426"/>
      <c r="VC6" s="425" t="s">
        <v>87</v>
      </c>
      <c r="VD6" s="426"/>
      <c r="VE6" s="425" t="s">
        <v>179</v>
      </c>
      <c r="VF6" s="426"/>
      <c r="VG6" s="425" t="s">
        <v>171</v>
      </c>
      <c r="VH6" s="426"/>
      <c r="VI6" s="425" t="s">
        <v>172</v>
      </c>
      <c r="VJ6" s="426"/>
      <c r="VK6" s="425" t="s">
        <v>9</v>
      </c>
      <c r="VL6" s="426"/>
      <c r="VM6" s="425" t="s">
        <v>173</v>
      </c>
      <c r="VN6" s="426"/>
      <c r="VO6" s="425" t="s">
        <v>174</v>
      </c>
      <c r="VP6" s="426"/>
      <c r="VQ6" s="425" t="s">
        <v>175</v>
      </c>
      <c r="VR6" s="426"/>
      <c r="VS6" s="425" t="s">
        <v>176</v>
      </c>
      <c r="VT6" s="426"/>
      <c r="VU6" s="425" t="s">
        <v>177</v>
      </c>
      <c r="VV6" s="426"/>
      <c r="VW6" s="425" t="s">
        <v>14</v>
      </c>
      <c r="VX6" s="426"/>
      <c r="VY6" s="425" t="s">
        <v>178</v>
      </c>
      <c r="VZ6" s="426"/>
      <c r="WA6" s="425" t="s">
        <v>87</v>
      </c>
      <c r="WB6" s="426"/>
      <c r="WC6" s="425" t="s">
        <v>179</v>
      </c>
      <c r="WD6" s="426"/>
      <c r="WE6" s="425" t="s">
        <v>171</v>
      </c>
      <c r="WF6" s="426"/>
      <c r="WG6" s="425" t="s">
        <v>172</v>
      </c>
      <c r="WH6" s="426"/>
      <c r="WI6" s="425" t="s">
        <v>9</v>
      </c>
      <c r="WJ6" s="426"/>
      <c r="WK6" s="425" t="s">
        <v>173</v>
      </c>
      <c r="WL6" s="426"/>
      <c r="WM6" s="425" t="s">
        <v>174</v>
      </c>
      <c r="WN6" s="426"/>
      <c r="WO6" s="425" t="s">
        <v>175</v>
      </c>
      <c r="WP6" s="426"/>
      <c r="WQ6" s="425" t="s">
        <v>176</v>
      </c>
      <c r="WR6" s="426"/>
      <c r="WS6" s="425" t="s">
        <v>177</v>
      </c>
      <c r="WT6" s="426"/>
      <c r="WU6" s="425" t="s">
        <v>14</v>
      </c>
      <c r="WV6" s="426"/>
      <c r="WW6" s="425" t="s">
        <v>178</v>
      </c>
      <c r="WX6" s="426"/>
      <c r="WY6" s="425" t="s">
        <v>87</v>
      </c>
      <c r="WZ6" s="426"/>
      <c r="XA6" s="425" t="s">
        <v>179</v>
      </c>
      <c r="XB6" s="426"/>
      <c r="XC6" s="425" t="s">
        <v>171</v>
      </c>
      <c r="XD6" s="426"/>
      <c r="XE6" s="425" t="s">
        <v>172</v>
      </c>
      <c r="XF6" s="426"/>
      <c r="XG6" s="425" t="s">
        <v>9</v>
      </c>
      <c r="XH6" s="426"/>
      <c r="XI6" s="425" t="s">
        <v>173</v>
      </c>
      <c r="XJ6" s="426"/>
      <c r="XK6" s="425" t="s">
        <v>174</v>
      </c>
      <c r="XL6" s="426"/>
      <c r="XM6" s="425" t="s">
        <v>175</v>
      </c>
      <c r="XN6" s="426"/>
      <c r="XO6" s="425" t="s">
        <v>176</v>
      </c>
      <c r="XP6" s="426"/>
      <c r="XQ6" s="425" t="s">
        <v>177</v>
      </c>
      <c r="XR6" s="426"/>
      <c r="XS6" s="425" t="s">
        <v>14</v>
      </c>
      <c r="XT6" s="426"/>
      <c r="XU6" s="425" t="s">
        <v>178</v>
      </c>
      <c r="XV6" s="426"/>
      <c r="XW6" s="425" t="s">
        <v>87</v>
      </c>
      <c r="XX6" s="426"/>
      <c r="XY6" s="425" t="s">
        <v>179</v>
      </c>
      <c r="XZ6" s="426"/>
      <c r="YA6" s="425" t="s">
        <v>171</v>
      </c>
      <c r="YB6" s="426"/>
      <c r="YC6" s="425" t="s">
        <v>172</v>
      </c>
      <c r="YD6" s="426"/>
      <c r="YE6" s="425" t="s">
        <v>9</v>
      </c>
      <c r="YF6" s="426"/>
      <c r="YG6" s="425" t="s">
        <v>173</v>
      </c>
      <c r="YH6" s="426"/>
      <c r="YI6" s="425" t="s">
        <v>174</v>
      </c>
      <c r="YJ6" s="426"/>
      <c r="YK6" s="425" t="s">
        <v>175</v>
      </c>
      <c r="YL6" s="426"/>
      <c r="YM6" s="425" t="s">
        <v>176</v>
      </c>
      <c r="YN6" s="426"/>
      <c r="YO6" s="425" t="s">
        <v>177</v>
      </c>
      <c r="YP6" s="426"/>
      <c r="YQ6" s="425" t="s">
        <v>14</v>
      </c>
      <c r="YR6" s="426"/>
      <c r="YS6" s="425" t="s">
        <v>178</v>
      </c>
      <c r="YT6" s="426"/>
      <c r="YU6" s="425" t="s">
        <v>87</v>
      </c>
      <c r="YV6" s="426"/>
      <c r="YW6" s="425" t="s">
        <v>179</v>
      </c>
      <c r="YX6" s="426"/>
      <c r="YY6" s="425" t="s">
        <v>171</v>
      </c>
      <c r="YZ6" s="426"/>
      <c r="ZA6" s="425" t="s">
        <v>172</v>
      </c>
      <c r="ZB6" s="426"/>
      <c r="ZC6" s="425" t="s">
        <v>9</v>
      </c>
      <c r="ZD6" s="426"/>
      <c r="ZE6" s="425" t="s">
        <v>173</v>
      </c>
      <c r="ZF6" s="426"/>
      <c r="ZG6" s="425" t="s">
        <v>174</v>
      </c>
      <c r="ZH6" s="426"/>
      <c r="ZI6" s="425" t="s">
        <v>175</v>
      </c>
      <c r="ZJ6" s="426"/>
      <c r="ZK6" s="425" t="s">
        <v>176</v>
      </c>
      <c r="ZL6" s="426"/>
      <c r="ZM6" s="425" t="s">
        <v>177</v>
      </c>
      <c r="ZN6" s="426"/>
      <c r="ZO6" s="425" t="s">
        <v>14</v>
      </c>
      <c r="ZP6" s="426"/>
      <c r="ZQ6" s="425" t="s">
        <v>178</v>
      </c>
      <c r="ZR6" s="426"/>
      <c r="ZS6" s="425" t="s">
        <v>87</v>
      </c>
      <c r="ZT6" s="426"/>
      <c r="ZU6" s="425" t="s">
        <v>179</v>
      </c>
      <c r="ZV6" s="426"/>
      <c r="ZW6" s="425" t="s">
        <v>171</v>
      </c>
      <c r="ZX6" s="426"/>
      <c r="ZY6" s="425" t="s">
        <v>172</v>
      </c>
      <c r="ZZ6" s="426"/>
      <c r="AAA6" s="425" t="s">
        <v>9</v>
      </c>
      <c r="AAB6" s="426"/>
      <c r="AAC6" s="425" t="s">
        <v>173</v>
      </c>
      <c r="AAD6" s="426"/>
      <c r="AAE6" s="425" t="s">
        <v>174</v>
      </c>
      <c r="AAF6" s="426"/>
      <c r="AAG6" s="425" t="s">
        <v>175</v>
      </c>
      <c r="AAH6" s="426"/>
      <c r="AAI6" s="425" t="s">
        <v>176</v>
      </c>
      <c r="AAJ6" s="426"/>
      <c r="AAK6" s="425" t="s">
        <v>177</v>
      </c>
      <c r="AAL6" s="426"/>
      <c r="AAM6" s="425" t="s">
        <v>14</v>
      </c>
      <c r="AAN6" s="426"/>
      <c r="AAO6" s="425" t="s">
        <v>178</v>
      </c>
      <c r="AAP6" s="426"/>
      <c r="AAQ6" s="425" t="s">
        <v>87</v>
      </c>
      <c r="AAR6" s="426"/>
      <c r="AAS6" s="425" t="s">
        <v>179</v>
      </c>
      <c r="AAT6" s="426"/>
      <c r="AAU6" s="425" t="s">
        <v>171</v>
      </c>
      <c r="AAV6" s="426"/>
      <c r="AAW6" s="425" t="s">
        <v>172</v>
      </c>
      <c r="AAX6" s="426"/>
      <c r="AAY6" s="425" t="s">
        <v>9</v>
      </c>
      <c r="AAZ6" s="426"/>
      <c r="ABA6" s="425" t="s">
        <v>173</v>
      </c>
      <c r="ABB6" s="426"/>
      <c r="ABC6" s="425" t="s">
        <v>174</v>
      </c>
      <c r="ABD6" s="426"/>
      <c r="ABE6" s="425" t="s">
        <v>175</v>
      </c>
      <c r="ABF6" s="426"/>
      <c r="ABG6" s="425" t="s">
        <v>176</v>
      </c>
      <c r="ABH6" s="426"/>
      <c r="ABI6" s="425" t="s">
        <v>177</v>
      </c>
      <c r="ABJ6" s="426"/>
      <c r="ABK6" s="425" t="s">
        <v>14</v>
      </c>
      <c r="ABL6" s="426"/>
      <c r="ABM6" s="425" t="s">
        <v>178</v>
      </c>
      <c r="ABN6" s="426"/>
      <c r="ABO6" s="425" t="s">
        <v>87</v>
      </c>
      <c r="ABP6" s="426"/>
      <c r="ABQ6" s="425" t="s">
        <v>179</v>
      </c>
      <c r="ABR6" s="426"/>
      <c r="ABS6" s="425" t="s">
        <v>171</v>
      </c>
      <c r="ABT6" s="426"/>
      <c r="ABU6" s="425" t="s">
        <v>172</v>
      </c>
      <c r="ABV6" s="426"/>
      <c r="ABW6" s="425" t="s">
        <v>9</v>
      </c>
      <c r="ABX6" s="426"/>
      <c r="ABY6" s="425" t="s">
        <v>173</v>
      </c>
      <c r="ABZ6" s="426"/>
      <c r="ACA6" s="425" t="s">
        <v>174</v>
      </c>
      <c r="ACB6" s="426"/>
      <c r="ACC6" s="425" t="s">
        <v>175</v>
      </c>
      <c r="ACD6" s="426"/>
      <c r="ACE6" s="425" t="s">
        <v>176</v>
      </c>
      <c r="ACF6" s="426"/>
      <c r="ACG6" s="425" t="s">
        <v>177</v>
      </c>
      <c r="ACH6" s="426"/>
      <c r="ACI6" s="425" t="s">
        <v>14</v>
      </c>
      <c r="ACJ6" s="426"/>
      <c r="ACK6" s="425" t="s">
        <v>178</v>
      </c>
      <c r="ACL6" s="426"/>
      <c r="ACM6" s="425" t="s">
        <v>87</v>
      </c>
      <c r="ACN6" s="426"/>
      <c r="ACO6" s="425" t="s">
        <v>179</v>
      </c>
      <c r="ACP6" s="426"/>
    </row>
    <row r="7" spans="1:770" ht="23.25" customHeight="1">
      <c r="A7" s="56"/>
      <c r="B7" s="54"/>
      <c r="C7" s="55" t="s">
        <v>21</v>
      </c>
      <c r="D7" s="58" t="s">
        <v>22</v>
      </c>
      <c r="E7" s="55" t="s">
        <v>21</v>
      </c>
      <c r="F7" s="58" t="s">
        <v>22</v>
      </c>
      <c r="G7" s="55" t="s">
        <v>21</v>
      </c>
      <c r="H7" s="58" t="s">
        <v>22</v>
      </c>
      <c r="I7" s="55" t="s">
        <v>21</v>
      </c>
      <c r="J7" s="58" t="s">
        <v>22</v>
      </c>
      <c r="K7" s="55" t="s">
        <v>21</v>
      </c>
      <c r="L7" s="58" t="s">
        <v>22</v>
      </c>
      <c r="M7" s="55" t="s">
        <v>21</v>
      </c>
      <c r="N7" s="58" t="s">
        <v>22</v>
      </c>
      <c r="O7" s="55" t="s">
        <v>21</v>
      </c>
      <c r="P7" s="58" t="s">
        <v>22</v>
      </c>
      <c r="Q7" s="55" t="s">
        <v>21</v>
      </c>
      <c r="R7" s="58" t="s">
        <v>22</v>
      </c>
      <c r="S7" s="55" t="s">
        <v>21</v>
      </c>
      <c r="T7" s="58" t="s">
        <v>22</v>
      </c>
      <c r="U7" s="55" t="s">
        <v>21</v>
      </c>
      <c r="V7" s="58" t="s">
        <v>22</v>
      </c>
      <c r="W7" s="55" t="s">
        <v>21</v>
      </c>
      <c r="X7" s="58" t="s">
        <v>22</v>
      </c>
      <c r="Y7" s="55" t="s">
        <v>21</v>
      </c>
      <c r="Z7" s="58" t="s">
        <v>22</v>
      </c>
      <c r="AA7" s="55" t="s">
        <v>21</v>
      </c>
      <c r="AB7" s="58" t="s">
        <v>22</v>
      </c>
      <c r="AC7" s="55" t="s">
        <v>21</v>
      </c>
      <c r="AD7" s="58" t="s">
        <v>22</v>
      </c>
      <c r="AE7" s="55" t="s">
        <v>21</v>
      </c>
      <c r="AF7" s="58" t="s">
        <v>22</v>
      </c>
      <c r="AG7" s="55" t="s">
        <v>21</v>
      </c>
      <c r="AH7" s="58" t="s">
        <v>22</v>
      </c>
      <c r="AI7" s="55" t="s">
        <v>21</v>
      </c>
      <c r="AJ7" s="58" t="s">
        <v>22</v>
      </c>
      <c r="AK7" s="55" t="s">
        <v>21</v>
      </c>
      <c r="AL7" s="58" t="s">
        <v>22</v>
      </c>
      <c r="AM7" s="55" t="s">
        <v>21</v>
      </c>
      <c r="AN7" s="58" t="s">
        <v>22</v>
      </c>
      <c r="AO7" s="55" t="s">
        <v>21</v>
      </c>
      <c r="AP7" s="58" t="s">
        <v>22</v>
      </c>
      <c r="AQ7" s="55" t="s">
        <v>21</v>
      </c>
      <c r="AR7" s="58" t="s">
        <v>22</v>
      </c>
      <c r="AS7" s="55" t="s">
        <v>21</v>
      </c>
      <c r="AT7" s="58" t="s">
        <v>22</v>
      </c>
      <c r="AU7" s="55" t="s">
        <v>21</v>
      </c>
      <c r="AV7" s="58" t="s">
        <v>22</v>
      </c>
      <c r="AW7" s="55" t="s">
        <v>21</v>
      </c>
      <c r="AX7" s="58" t="s">
        <v>22</v>
      </c>
      <c r="AY7" s="55" t="s">
        <v>21</v>
      </c>
      <c r="AZ7" s="58" t="s">
        <v>22</v>
      </c>
      <c r="BA7" s="55" t="s">
        <v>21</v>
      </c>
      <c r="BB7" s="58" t="s">
        <v>22</v>
      </c>
      <c r="BC7" s="55" t="s">
        <v>21</v>
      </c>
      <c r="BD7" s="58" t="s">
        <v>22</v>
      </c>
      <c r="BE7" s="55" t="s">
        <v>21</v>
      </c>
      <c r="BF7" s="58" t="s">
        <v>22</v>
      </c>
      <c r="BG7" s="55" t="s">
        <v>21</v>
      </c>
      <c r="BH7" s="58" t="s">
        <v>22</v>
      </c>
      <c r="BI7" s="55" t="s">
        <v>21</v>
      </c>
      <c r="BJ7" s="58" t="s">
        <v>22</v>
      </c>
      <c r="BK7" s="55" t="s">
        <v>21</v>
      </c>
      <c r="BL7" s="58" t="s">
        <v>22</v>
      </c>
      <c r="BM7" s="55" t="s">
        <v>21</v>
      </c>
      <c r="BN7" s="58" t="s">
        <v>22</v>
      </c>
      <c r="BO7" s="55" t="s">
        <v>21</v>
      </c>
      <c r="BP7" s="58" t="s">
        <v>22</v>
      </c>
      <c r="BQ7" s="55" t="s">
        <v>21</v>
      </c>
      <c r="BR7" s="58" t="s">
        <v>22</v>
      </c>
      <c r="BS7" s="55" t="s">
        <v>21</v>
      </c>
      <c r="BT7" s="58" t="s">
        <v>22</v>
      </c>
      <c r="BU7" s="55" t="s">
        <v>21</v>
      </c>
      <c r="BV7" s="58" t="s">
        <v>22</v>
      </c>
      <c r="BW7" s="55" t="s">
        <v>21</v>
      </c>
      <c r="BX7" s="58" t="s">
        <v>22</v>
      </c>
      <c r="BY7" s="55" t="s">
        <v>21</v>
      </c>
      <c r="BZ7" s="58" t="s">
        <v>22</v>
      </c>
      <c r="CA7" s="55" t="s">
        <v>21</v>
      </c>
      <c r="CB7" s="58" t="s">
        <v>22</v>
      </c>
      <c r="CC7" s="55" t="s">
        <v>21</v>
      </c>
      <c r="CD7" s="58" t="s">
        <v>22</v>
      </c>
      <c r="CE7" s="55" t="s">
        <v>21</v>
      </c>
      <c r="CF7" s="58" t="s">
        <v>22</v>
      </c>
      <c r="CG7" s="55" t="s">
        <v>21</v>
      </c>
      <c r="CH7" s="58" t="s">
        <v>22</v>
      </c>
      <c r="CI7" s="55" t="s">
        <v>21</v>
      </c>
      <c r="CJ7" s="58" t="s">
        <v>22</v>
      </c>
      <c r="CK7" s="55" t="s">
        <v>21</v>
      </c>
      <c r="CL7" s="58" t="s">
        <v>22</v>
      </c>
      <c r="CM7" s="55" t="s">
        <v>21</v>
      </c>
      <c r="CN7" s="58" t="s">
        <v>22</v>
      </c>
      <c r="CO7" s="55" t="s">
        <v>21</v>
      </c>
      <c r="CP7" s="58" t="s">
        <v>22</v>
      </c>
      <c r="CQ7" s="55" t="s">
        <v>21</v>
      </c>
      <c r="CR7" s="58" t="s">
        <v>22</v>
      </c>
      <c r="CS7" s="55" t="s">
        <v>21</v>
      </c>
      <c r="CT7" s="58" t="s">
        <v>22</v>
      </c>
      <c r="CU7" s="55" t="s">
        <v>21</v>
      </c>
      <c r="CV7" s="58" t="s">
        <v>22</v>
      </c>
      <c r="CW7" s="55" t="s">
        <v>21</v>
      </c>
      <c r="CX7" s="58" t="s">
        <v>22</v>
      </c>
      <c r="CY7" s="55" t="s">
        <v>21</v>
      </c>
      <c r="CZ7" s="58" t="s">
        <v>22</v>
      </c>
      <c r="DA7" s="55" t="s">
        <v>21</v>
      </c>
      <c r="DB7" s="58" t="s">
        <v>22</v>
      </c>
      <c r="DC7" s="55" t="s">
        <v>21</v>
      </c>
      <c r="DD7" s="58" t="s">
        <v>22</v>
      </c>
      <c r="DE7" s="55" t="s">
        <v>21</v>
      </c>
      <c r="DF7" s="58" t="s">
        <v>22</v>
      </c>
      <c r="DG7" s="55" t="s">
        <v>21</v>
      </c>
      <c r="DH7" s="58" t="s">
        <v>22</v>
      </c>
      <c r="DI7" s="55" t="s">
        <v>21</v>
      </c>
      <c r="DJ7" s="58" t="s">
        <v>22</v>
      </c>
      <c r="DK7" s="55" t="s">
        <v>21</v>
      </c>
      <c r="DL7" s="58" t="s">
        <v>22</v>
      </c>
      <c r="DM7" s="55" t="s">
        <v>21</v>
      </c>
      <c r="DN7" s="58" t="s">
        <v>22</v>
      </c>
      <c r="DO7" s="55" t="s">
        <v>21</v>
      </c>
      <c r="DP7" s="58" t="s">
        <v>22</v>
      </c>
      <c r="DQ7" s="55" t="s">
        <v>21</v>
      </c>
      <c r="DR7" s="58" t="s">
        <v>22</v>
      </c>
      <c r="DS7" s="55" t="s">
        <v>21</v>
      </c>
      <c r="DT7" s="58" t="s">
        <v>22</v>
      </c>
      <c r="DU7" s="55" t="s">
        <v>21</v>
      </c>
      <c r="DV7" s="58" t="s">
        <v>22</v>
      </c>
      <c r="DW7" s="55" t="s">
        <v>21</v>
      </c>
      <c r="DX7" s="58" t="s">
        <v>22</v>
      </c>
      <c r="DY7" s="55" t="s">
        <v>21</v>
      </c>
      <c r="DZ7" s="58" t="s">
        <v>22</v>
      </c>
      <c r="EA7" s="55" t="s">
        <v>21</v>
      </c>
      <c r="EB7" s="58" t="s">
        <v>22</v>
      </c>
      <c r="EC7" s="55" t="s">
        <v>21</v>
      </c>
      <c r="ED7" s="58" t="s">
        <v>22</v>
      </c>
      <c r="EE7" s="55" t="s">
        <v>21</v>
      </c>
      <c r="EF7" s="58" t="s">
        <v>22</v>
      </c>
      <c r="EG7" s="55" t="s">
        <v>21</v>
      </c>
      <c r="EH7" s="58" t="s">
        <v>22</v>
      </c>
      <c r="EI7" s="55" t="s">
        <v>21</v>
      </c>
      <c r="EJ7" s="58" t="s">
        <v>22</v>
      </c>
      <c r="EK7" s="55" t="s">
        <v>21</v>
      </c>
      <c r="EL7" s="58" t="s">
        <v>22</v>
      </c>
      <c r="EM7" s="55" t="s">
        <v>21</v>
      </c>
      <c r="EN7" s="58" t="s">
        <v>22</v>
      </c>
      <c r="EO7" s="55" t="s">
        <v>21</v>
      </c>
      <c r="EP7" s="58" t="s">
        <v>22</v>
      </c>
      <c r="EQ7" s="55" t="s">
        <v>21</v>
      </c>
      <c r="ER7" s="58" t="s">
        <v>22</v>
      </c>
      <c r="ES7" s="55" t="s">
        <v>21</v>
      </c>
      <c r="ET7" s="58" t="s">
        <v>22</v>
      </c>
      <c r="EU7" s="55" t="s">
        <v>21</v>
      </c>
      <c r="EV7" s="58" t="s">
        <v>22</v>
      </c>
      <c r="EW7" s="55" t="s">
        <v>21</v>
      </c>
      <c r="EX7" s="58" t="s">
        <v>22</v>
      </c>
      <c r="EY7" s="55" t="s">
        <v>21</v>
      </c>
      <c r="EZ7" s="58" t="s">
        <v>22</v>
      </c>
      <c r="FA7" s="55" t="s">
        <v>21</v>
      </c>
      <c r="FB7" s="58" t="s">
        <v>22</v>
      </c>
      <c r="FC7" s="55" t="s">
        <v>21</v>
      </c>
      <c r="FD7" s="58" t="s">
        <v>22</v>
      </c>
      <c r="FE7" s="55" t="s">
        <v>21</v>
      </c>
      <c r="FF7" s="58" t="s">
        <v>22</v>
      </c>
      <c r="FG7" s="55" t="s">
        <v>21</v>
      </c>
      <c r="FH7" s="58" t="s">
        <v>22</v>
      </c>
      <c r="FI7" s="55" t="s">
        <v>21</v>
      </c>
      <c r="FJ7" s="58" t="s">
        <v>22</v>
      </c>
      <c r="FK7" s="55" t="s">
        <v>21</v>
      </c>
      <c r="FL7" s="58" t="s">
        <v>22</v>
      </c>
      <c r="FM7" s="55" t="s">
        <v>21</v>
      </c>
      <c r="FN7" s="58" t="s">
        <v>22</v>
      </c>
      <c r="FO7" s="55" t="s">
        <v>21</v>
      </c>
      <c r="FP7" s="58" t="s">
        <v>22</v>
      </c>
      <c r="FQ7" s="55" t="s">
        <v>21</v>
      </c>
      <c r="FR7" s="58" t="s">
        <v>22</v>
      </c>
      <c r="FS7" s="55" t="s">
        <v>21</v>
      </c>
      <c r="FT7" s="58" t="s">
        <v>22</v>
      </c>
      <c r="FU7" s="55" t="s">
        <v>21</v>
      </c>
      <c r="FV7" s="58" t="s">
        <v>22</v>
      </c>
      <c r="FW7" s="55" t="s">
        <v>21</v>
      </c>
      <c r="FX7" s="58" t="s">
        <v>22</v>
      </c>
      <c r="FY7" s="55" t="s">
        <v>21</v>
      </c>
      <c r="FZ7" s="58" t="s">
        <v>22</v>
      </c>
      <c r="GA7" s="55" t="s">
        <v>21</v>
      </c>
      <c r="GB7" s="58" t="s">
        <v>22</v>
      </c>
      <c r="GC7" s="55" t="s">
        <v>21</v>
      </c>
      <c r="GD7" s="58" t="s">
        <v>22</v>
      </c>
      <c r="GE7" s="55" t="s">
        <v>21</v>
      </c>
      <c r="GF7" s="58" t="s">
        <v>22</v>
      </c>
      <c r="GG7" s="55" t="s">
        <v>21</v>
      </c>
      <c r="GH7" s="58" t="s">
        <v>22</v>
      </c>
      <c r="GI7" s="55" t="s">
        <v>21</v>
      </c>
      <c r="GJ7" s="58" t="s">
        <v>22</v>
      </c>
      <c r="GK7" s="55" t="s">
        <v>21</v>
      </c>
      <c r="GL7" s="58" t="s">
        <v>22</v>
      </c>
      <c r="GM7" s="55" t="s">
        <v>21</v>
      </c>
      <c r="GN7" s="58" t="s">
        <v>22</v>
      </c>
      <c r="GO7" s="55" t="s">
        <v>21</v>
      </c>
      <c r="GP7" s="58" t="s">
        <v>22</v>
      </c>
      <c r="GQ7" s="55" t="s">
        <v>21</v>
      </c>
      <c r="GR7" s="58" t="s">
        <v>22</v>
      </c>
      <c r="GS7" s="55" t="s">
        <v>21</v>
      </c>
      <c r="GT7" s="58" t="s">
        <v>22</v>
      </c>
      <c r="GU7" s="55" t="s">
        <v>21</v>
      </c>
      <c r="GV7" s="58" t="s">
        <v>22</v>
      </c>
      <c r="GW7" s="55" t="s">
        <v>21</v>
      </c>
      <c r="GX7" s="58" t="s">
        <v>22</v>
      </c>
      <c r="GY7" s="55" t="s">
        <v>21</v>
      </c>
      <c r="GZ7" s="58" t="s">
        <v>22</v>
      </c>
      <c r="HA7" s="55" t="s">
        <v>21</v>
      </c>
      <c r="HB7" s="58" t="s">
        <v>22</v>
      </c>
      <c r="HC7" s="55" t="s">
        <v>21</v>
      </c>
      <c r="HD7" s="58" t="s">
        <v>22</v>
      </c>
      <c r="HE7" s="55" t="s">
        <v>21</v>
      </c>
      <c r="HF7" s="58" t="s">
        <v>22</v>
      </c>
      <c r="HG7" s="55" t="s">
        <v>21</v>
      </c>
      <c r="HH7" s="58" t="s">
        <v>22</v>
      </c>
      <c r="HI7" s="55" t="s">
        <v>21</v>
      </c>
      <c r="HJ7" s="58" t="s">
        <v>22</v>
      </c>
      <c r="HK7" s="55" t="s">
        <v>21</v>
      </c>
      <c r="HL7" s="58" t="s">
        <v>22</v>
      </c>
      <c r="HM7" s="55" t="s">
        <v>21</v>
      </c>
      <c r="HN7" s="58" t="s">
        <v>22</v>
      </c>
      <c r="HO7" s="55" t="s">
        <v>21</v>
      </c>
      <c r="HP7" s="58" t="s">
        <v>22</v>
      </c>
      <c r="HQ7" s="55" t="s">
        <v>21</v>
      </c>
      <c r="HR7" s="58" t="s">
        <v>22</v>
      </c>
      <c r="HS7" s="55" t="s">
        <v>21</v>
      </c>
      <c r="HT7" s="58" t="s">
        <v>22</v>
      </c>
      <c r="HU7" s="55" t="s">
        <v>21</v>
      </c>
      <c r="HV7" s="58" t="s">
        <v>22</v>
      </c>
      <c r="HW7" s="55" t="s">
        <v>21</v>
      </c>
      <c r="HX7" s="58" t="s">
        <v>22</v>
      </c>
      <c r="HY7" s="55" t="s">
        <v>21</v>
      </c>
      <c r="HZ7" s="58" t="s">
        <v>22</v>
      </c>
      <c r="IA7" s="55" t="s">
        <v>21</v>
      </c>
      <c r="IB7" s="58" t="s">
        <v>22</v>
      </c>
      <c r="IC7" s="55" t="s">
        <v>21</v>
      </c>
      <c r="ID7" s="58" t="s">
        <v>22</v>
      </c>
      <c r="IE7" s="55" t="s">
        <v>21</v>
      </c>
      <c r="IF7" s="58" t="s">
        <v>22</v>
      </c>
      <c r="IG7" s="55" t="s">
        <v>21</v>
      </c>
      <c r="IH7" s="58" t="s">
        <v>22</v>
      </c>
      <c r="II7" s="55" t="s">
        <v>21</v>
      </c>
      <c r="IJ7" s="58" t="s">
        <v>22</v>
      </c>
      <c r="IK7" s="55" t="s">
        <v>21</v>
      </c>
      <c r="IL7" s="58" t="s">
        <v>22</v>
      </c>
      <c r="IM7" s="55" t="s">
        <v>21</v>
      </c>
      <c r="IN7" s="58" t="s">
        <v>22</v>
      </c>
      <c r="IO7" s="55" t="s">
        <v>21</v>
      </c>
      <c r="IP7" s="58" t="s">
        <v>22</v>
      </c>
      <c r="IQ7" s="55" t="s">
        <v>21</v>
      </c>
      <c r="IR7" s="58" t="s">
        <v>22</v>
      </c>
      <c r="IS7" s="55" t="s">
        <v>21</v>
      </c>
      <c r="IT7" s="58" t="s">
        <v>22</v>
      </c>
      <c r="IU7" s="55" t="s">
        <v>21</v>
      </c>
      <c r="IV7" s="58" t="s">
        <v>22</v>
      </c>
      <c r="IW7" s="55" t="s">
        <v>21</v>
      </c>
      <c r="IX7" s="58" t="s">
        <v>22</v>
      </c>
      <c r="IY7" s="55" t="s">
        <v>21</v>
      </c>
      <c r="IZ7" s="58" t="s">
        <v>22</v>
      </c>
      <c r="JA7" s="55" t="s">
        <v>21</v>
      </c>
      <c r="JB7" s="58" t="s">
        <v>22</v>
      </c>
      <c r="JC7" s="55" t="s">
        <v>21</v>
      </c>
      <c r="JD7" s="58" t="s">
        <v>22</v>
      </c>
      <c r="JE7" s="55" t="s">
        <v>21</v>
      </c>
      <c r="JF7" s="58" t="s">
        <v>22</v>
      </c>
      <c r="JG7" s="55" t="s">
        <v>21</v>
      </c>
      <c r="JH7" s="58" t="s">
        <v>22</v>
      </c>
      <c r="JI7" s="55" t="s">
        <v>21</v>
      </c>
      <c r="JJ7" s="58" t="s">
        <v>22</v>
      </c>
      <c r="JK7" s="55" t="s">
        <v>21</v>
      </c>
      <c r="JL7" s="58" t="s">
        <v>22</v>
      </c>
      <c r="JM7" s="55" t="s">
        <v>21</v>
      </c>
      <c r="JN7" s="58" t="s">
        <v>22</v>
      </c>
      <c r="JO7" s="55" t="s">
        <v>21</v>
      </c>
      <c r="JP7" s="58" t="s">
        <v>22</v>
      </c>
      <c r="JQ7" s="55" t="s">
        <v>21</v>
      </c>
      <c r="JR7" s="58" t="s">
        <v>22</v>
      </c>
      <c r="JS7" s="55" t="s">
        <v>21</v>
      </c>
      <c r="JT7" s="58" t="s">
        <v>22</v>
      </c>
      <c r="JU7" s="55" t="s">
        <v>21</v>
      </c>
      <c r="JV7" s="58" t="s">
        <v>22</v>
      </c>
      <c r="JW7" s="55" t="s">
        <v>21</v>
      </c>
      <c r="JX7" s="58" t="s">
        <v>22</v>
      </c>
      <c r="JY7" s="55" t="s">
        <v>21</v>
      </c>
      <c r="JZ7" s="58" t="s">
        <v>22</v>
      </c>
      <c r="KA7" s="55" t="s">
        <v>21</v>
      </c>
      <c r="KB7" s="58" t="s">
        <v>22</v>
      </c>
      <c r="KC7" s="55" t="s">
        <v>21</v>
      </c>
      <c r="KD7" s="58" t="s">
        <v>22</v>
      </c>
      <c r="KE7" s="55" t="s">
        <v>21</v>
      </c>
      <c r="KF7" s="58" t="s">
        <v>22</v>
      </c>
      <c r="KG7" s="55" t="s">
        <v>21</v>
      </c>
      <c r="KH7" s="58" t="s">
        <v>22</v>
      </c>
      <c r="KI7" s="55" t="s">
        <v>21</v>
      </c>
      <c r="KJ7" s="58" t="s">
        <v>22</v>
      </c>
      <c r="KK7" s="55" t="s">
        <v>21</v>
      </c>
      <c r="KL7" s="58" t="s">
        <v>22</v>
      </c>
      <c r="KM7" s="55" t="s">
        <v>21</v>
      </c>
      <c r="KN7" s="58" t="s">
        <v>22</v>
      </c>
      <c r="KO7" s="55" t="s">
        <v>21</v>
      </c>
      <c r="KP7" s="58" t="s">
        <v>22</v>
      </c>
      <c r="KQ7" s="55" t="s">
        <v>21</v>
      </c>
      <c r="KR7" s="58" t="s">
        <v>22</v>
      </c>
      <c r="KS7" s="55" t="s">
        <v>21</v>
      </c>
      <c r="KT7" s="58" t="s">
        <v>22</v>
      </c>
      <c r="KU7" s="55" t="s">
        <v>21</v>
      </c>
      <c r="KV7" s="58" t="s">
        <v>22</v>
      </c>
      <c r="KW7" s="55" t="s">
        <v>21</v>
      </c>
      <c r="KX7" s="58" t="s">
        <v>22</v>
      </c>
      <c r="KY7" s="55" t="s">
        <v>21</v>
      </c>
      <c r="KZ7" s="58" t="s">
        <v>22</v>
      </c>
      <c r="LA7" s="55" t="s">
        <v>21</v>
      </c>
      <c r="LB7" s="58" t="s">
        <v>22</v>
      </c>
      <c r="LC7" s="55" t="s">
        <v>21</v>
      </c>
      <c r="LD7" s="58" t="s">
        <v>22</v>
      </c>
      <c r="LE7" s="55" t="s">
        <v>21</v>
      </c>
      <c r="LF7" s="58" t="s">
        <v>22</v>
      </c>
      <c r="LG7" s="55" t="s">
        <v>21</v>
      </c>
      <c r="LH7" s="58" t="s">
        <v>22</v>
      </c>
      <c r="LI7" s="55" t="s">
        <v>21</v>
      </c>
      <c r="LJ7" s="58" t="s">
        <v>22</v>
      </c>
      <c r="LK7" s="55" t="s">
        <v>21</v>
      </c>
      <c r="LL7" s="58" t="s">
        <v>22</v>
      </c>
      <c r="LM7" s="55" t="s">
        <v>21</v>
      </c>
      <c r="LN7" s="58" t="s">
        <v>22</v>
      </c>
      <c r="LO7" s="55" t="s">
        <v>21</v>
      </c>
      <c r="LP7" s="58" t="s">
        <v>22</v>
      </c>
      <c r="LQ7" s="55" t="s">
        <v>21</v>
      </c>
      <c r="LR7" s="58" t="s">
        <v>22</v>
      </c>
      <c r="LS7" s="55" t="s">
        <v>21</v>
      </c>
      <c r="LT7" s="58" t="s">
        <v>22</v>
      </c>
      <c r="LU7" s="55" t="s">
        <v>21</v>
      </c>
      <c r="LV7" s="58" t="s">
        <v>22</v>
      </c>
      <c r="LW7" s="55" t="s">
        <v>21</v>
      </c>
      <c r="LX7" s="58" t="s">
        <v>22</v>
      </c>
      <c r="LY7" s="55" t="s">
        <v>21</v>
      </c>
      <c r="LZ7" s="58" t="s">
        <v>22</v>
      </c>
      <c r="MA7" s="55" t="s">
        <v>21</v>
      </c>
      <c r="MB7" s="58" t="s">
        <v>22</v>
      </c>
      <c r="MC7" s="55" t="s">
        <v>21</v>
      </c>
      <c r="MD7" s="58" t="s">
        <v>22</v>
      </c>
      <c r="ME7" s="55" t="s">
        <v>21</v>
      </c>
      <c r="MF7" s="58" t="s">
        <v>22</v>
      </c>
      <c r="MG7" s="55" t="s">
        <v>21</v>
      </c>
      <c r="MH7" s="58" t="s">
        <v>22</v>
      </c>
      <c r="MI7" s="55" t="s">
        <v>21</v>
      </c>
      <c r="MJ7" s="58" t="s">
        <v>22</v>
      </c>
      <c r="MK7" s="55" t="s">
        <v>21</v>
      </c>
      <c r="ML7" s="58" t="s">
        <v>22</v>
      </c>
      <c r="MM7" s="55" t="s">
        <v>21</v>
      </c>
      <c r="MN7" s="58" t="s">
        <v>22</v>
      </c>
      <c r="MO7" s="55" t="s">
        <v>21</v>
      </c>
      <c r="MP7" s="58" t="s">
        <v>22</v>
      </c>
      <c r="MQ7" s="55" t="s">
        <v>21</v>
      </c>
      <c r="MR7" s="58" t="s">
        <v>22</v>
      </c>
      <c r="MS7" s="55" t="s">
        <v>21</v>
      </c>
      <c r="MT7" s="58" t="s">
        <v>22</v>
      </c>
      <c r="MU7" s="55" t="s">
        <v>21</v>
      </c>
      <c r="MV7" s="58" t="s">
        <v>22</v>
      </c>
      <c r="MW7" s="55" t="s">
        <v>21</v>
      </c>
      <c r="MX7" s="58" t="s">
        <v>22</v>
      </c>
      <c r="MY7" s="55" t="s">
        <v>21</v>
      </c>
      <c r="MZ7" s="58" t="s">
        <v>22</v>
      </c>
      <c r="NA7" s="55" t="s">
        <v>21</v>
      </c>
      <c r="NB7" s="58" t="s">
        <v>22</v>
      </c>
      <c r="NC7" s="55" t="s">
        <v>21</v>
      </c>
      <c r="ND7" s="58" t="s">
        <v>22</v>
      </c>
      <c r="NE7" s="55" t="s">
        <v>21</v>
      </c>
      <c r="NF7" s="58" t="s">
        <v>22</v>
      </c>
      <c r="NG7" s="55" t="s">
        <v>21</v>
      </c>
      <c r="NH7" s="58" t="s">
        <v>22</v>
      </c>
      <c r="NI7" s="55" t="s">
        <v>21</v>
      </c>
      <c r="NJ7" s="58" t="s">
        <v>22</v>
      </c>
      <c r="NK7" s="55" t="s">
        <v>21</v>
      </c>
      <c r="NL7" s="58" t="s">
        <v>22</v>
      </c>
      <c r="NM7" s="55" t="s">
        <v>21</v>
      </c>
      <c r="NN7" s="58" t="s">
        <v>22</v>
      </c>
      <c r="NO7" s="55" t="s">
        <v>21</v>
      </c>
      <c r="NP7" s="58" t="s">
        <v>22</v>
      </c>
      <c r="NQ7" s="55" t="s">
        <v>21</v>
      </c>
      <c r="NR7" s="58" t="s">
        <v>22</v>
      </c>
      <c r="NS7" s="55" t="s">
        <v>21</v>
      </c>
      <c r="NT7" s="58" t="s">
        <v>22</v>
      </c>
      <c r="NU7" s="55" t="s">
        <v>21</v>
      </c>
      <c r="NV7" s="58" t="s">
        <v>22</v>
      </c>
      <c r="NW7" s="55" t="s">
        <v>21</v>
      </c>
      <c r="NX7" s="58" t="s">
        <v>22</v>
      </c>
      <c r="NY7" s="55" t="s">
        <v>21</v>
      </c>
      <c r="NZ7" s="58" t="s">
        <v>22</v>
      </c>
      <c r="OA7" s="55" t="s">
        <v>21</v>
      </c>
      <c r="OB7" s="58" t="s">
        <v>22</v>
      </c>
      <c r="OC7" s="55" t="s">
        <v>21</v>
      </c>
      <c r="OD7" s="58" t="s">
        <v>22</v>
      </c>
      <c r="OE7" s="55" t="s">
        <v>21</v>
      </c>
      <c r="OF7" s="58" t="s">
        <v>22</v>
      </c>
      <c r="OG7" s="55" t="s">
        <v>21</v>
      </c>
      <c r="OH7" s="58" t="s">
        <v>22</v>
      </c>
      <c r="OI7" s="55" t="s">
        <v>21</v>
      </c>
      <c r="OJ7" s="58" t="s">
        <v>22</v>
      </c>
      <c r="OK7" s="55" t="s">
        <v>21</v>
      </c>
      <c r="OL7" s="58" t="s">
        <v>22</v>
      </c>
      <c r="OM7" s="55" t="s">
        <v>21</v>
      </c>
      <c r="ON7" s="58" t="s">
        <v>22</v>
      </c>
      <c r="OO7" s="55" t="s">
        <v>21</v>
      </c>
      <c r="OP7" s="58" t="s">
        <v>22</v>
      </c>
      <c r="OQ7" s="55" t="s">
        <v>21</v>
      </c>
      <c r="OR7" s="58" t="s">
        <v>22</v>
      </c>
      <c r="OS7" s="55" t="s">
        <v>21</v>
      </c>
      <c r="OT7" s="58" t="s">
        <v>22</v>
      </c>
      <c r="OU7" s="55" t="s">
        <v>21</v>
      </c>
      <c r="OV7" s="58" t="s">
        <v>22</v>
      </c>
      <c r="OW7" s="55" t="s">
        <v>21</v>
      </c>
      <c r="OX7" s="58" t="s">
        <v>22</v>
      </c>
      <c r="OY7" s="55" t="s">
        <v>21</v>
      </c>
      <c r="OZ7" s="58" t="s">
        <v>22</v>
      </c>
      <c r="PA7" s="55" t="s">
        <v>21</v>
      </c>
      <c r="PB7" s="58" t="s">
        <v>22</v>
      </c>
      <c r="PC7" s="55" t="s">
        <v>21</v>
      </c>
      <c r="PD7" s="58" t="s">
        <v>22</v>
      </c>
      <c r="PE7" s="55" t="s">
        <v>21</v>
      </c>
      <c r="PF7" s="58" t="s">
        <v>22</v>
      </c>
      <c r="PG7" s="55" t="s">
        <v>21</v>
      </c>
      <c r="PH7" s="58" t="s">
        <v>22</v>
      </c>
      <c r="PI7" s="55" t="s">
        <v>21</v>
      </c>
      <c r="PJ7" s="58" t="s">
        <v>22</v>
      </c>
      <c r="PK7" s="55" t="s">
        <v>21</v>
      </c>
      <c r="PL7" s="58" t="s">
        <v>22</v>
      </c>
      <c r="PM7" s="55" t="s">
        <v>21</v>
      </c>
      <c r="PN7" s="58" t="s">
        <v>22</v>
      </c>
      <c r="PO7" s="55" t="s">
        <v>21</v>
      </c>
      <c r="PP7" s="58" t="s">
        <v>22</v>
      </c>
      <c r="PQ7" s="55" t="s">
        <v>21</v>
      </c>
      <c r="PR7" s="58" t="s">
        <v>22</v>
      </c>
      <c r="PS7" s="55" t="s">
        <v>21</v>
      </c>
      <c r="PT7" s="58" t="s">
        <v>22</v>
      </c>
      <c r="PU7" s="55" t="s">
        <v>21</v>
      </c>
      <c r="PV7" s="58" t="s">
        <v>22</v>
      </c>
      <c r="PW7" s="55" t="s">
        <v>21</v>
      </c>
      <c r="PX7" s="58" t="s">
        <v>22</v>
      </c>
      <c r="PY7" s="55" t="s">
        <v>21</v>
      </c>
      <c r="PZ7" s="58" t="s">
        <v>22</v>
      </c>
      <c r="QA7" s="55" t="s">
        <v>21</v>
      </c>
      <c r="QB7" s="58" t="s">
        <v>22</v>
      </c>
      <c r="QC7" s="55" t="s">
        <v>21</v>
      </c>
      <c r="QD7" s="58" t="s">
        <v>22</v>
      </c>
      <c r="QE7" s="55" t="s">
        <v>21</v>
      </c>
      <c r="QF7" s="58" t="s">
        <v>22</v>
      </c>
      <c r="QG7" s="55" t="s">
        <v>21</v>
      </c>
      <c r="QH7" s="58" t="s">
        <v>22</v>
      </c>
      <c r="QI7" s="55" t="s">
        <v>21</v>
      </c>
      <c r="QJ7" s="58" t="s">
        <v>22</v>
      </c>
      <c r="QK7" s="55" t="s">
        <v>21</v>
      </c>
      <c r="QL7" s="58" t="s">
        <v>22</v>
      </c>
      <c r="QM7" s="55" t="s">
        <v>21</v>
      </c>
      <c r="QN7" s="58" t="s">
        <v>22</v>
      </c>
      <c r="QO7" s="55" t="s">
        <v>21</v>
      </c>
      <c r="QP7" s="58" t="s">
        <v>22</v>
      </c>
      <c r="QQ7" s="55" t="s">
        <v>21</v>
      </c>
      <c r="QR7" s="58" t="s">
        <v>22</v>
      </c>
      <c r="QS7" s="55" t="s">
        <v>21</v>
      </c>
      <c r="QT7" s="58" t="s">
        <v>22</v>
      </c>
      <c r="QU7" s="55" t="s">
        <v>21</v>
      </c>
      <c r="QV7" s="58" t="s">
        <v>22</v>
      </c>
      <c r="QW7" s="55" t="s">
        <v>21</v>
      </c>
      <c r="QX7" s="58" t="s">
        <v>22</v>
      </c>
      <c r="QY7" s="55" t="s">
        <v>21</v>
      </c>
      <c r="QZ7" s="58" t="s">
        <v>22</v>
      </c>
      <c r="RA7" s="55" t="s">
        <v>21</v>
      </c>
      <c r="RB7" s="58" t="s">
        <v>22</v>
      </c>
      <c r="RC7" s="55" t="s">
        <v>21</v>
      </c>
      <c r="RD7" s="58" t="s">
        <v>22</v>
      </c>
      <c r="RE7" s="55" t="s">
        <v>21</v>
      </c>
      <c r="RF7" s="58" t="s">
        <v>22</v>
      </c>
      <c r="RG7" s="55" t="s">
        <v>21</v>
      </c>
      <c r="RH7" s="58" t="s">
        <v>22</v>
      </c>
      <c r="RI7" s="55" t="s">
        <v>21</v>
      </c>
      <c r="RJ7" s="58" t="s">
        <v>22</v>
      </c>
      <c r="RK7" s="55" t="s">
        <v>21</v>
      </c>
      <c r="RL7" s="58" t="s">
        <v>22</v>
      </c>
      <c r="RM7" s="55" t="s">
        <v>21</v>
      </c>
      <c r="RN7" s="58" t="s">
        <v>22</v>
      </c>
      <c r="RO7" s="55" t="s">
        <v>21</v>
      </c>
      <c r="RP7" s="58" t="s">
        <v>22</v>
      </c>
      <c r="RQ7" s="55" t="s">
        <v>21</v>
      </c>
      <c r="RR7" s="58" t="s">
        <v>22</v>
      </c>
      <c r="RS7" s="55" t="s">
        <v>21</v>
      </c>
      <c r="RT7" s="58" t="s">
        <v>22</v>
      </c>
      <c r="RU7" s="55" t="s">
        <v>21</v>
      </c>
      <c r="RV7" s="58" t="s">
        <v>22</v>
      </c>
      <c r="RW7" s="55" t="s">
        <v>21</v>
      </c>
      <c r="RX7" s="58" t="s">
        <v>22</v>
      </c>
      <c r="RY7" s="55" t="s">
        <v>21</v>
      </c>
      <c r="RZ7" s="58" t="s">
        <v>22</v>
      </c>
      <c r="SA7" s="55" t="s">
        <v>21</v>
      </c>
      <c r="SB7" s="58" t="s">
        <v>22</v>
      </c>
      <c r="SC7" s="55" t="s">
        <v>21</v>
      </c>
      <c r="SD7" s="58" t="s">
        <v>22</v>
      </c>
      <c r="SE7" s="55" t="s">
        <v>21</v>
      </c>
      <c r="SF7" s="58" t="s">
        <v>22</v>
      </c>
      <c r="SG7" s="55" t="s">
        <v>21</v>
      </c>
      <c r="SH7" s="58" t="s">
        <v>22</v>
      </c>
      <c r="SI7" s="55" t="s">
        <v>21</v>
      </c>
      <c r="SJ7" s="58" t="s">
        <v>22</v>
      </c>
      <c r="SK7" s="55" t="s">
        <v>21</v>
      </c>
      <c r="SL7" s="58" t="s">
        <v>22</v>
      </c>
      <c r="SM7" s="55" t="s">
        <v>21</v>
      </c>
      <c r="SN7" s="58" t="s">
        <v>22</v>
      </c>
      <c r="SO7" s="55" t="s">
        <v>21</v>
      </c>
      <c r="SP7" s="58" t="s">
        <v>22</v>
      </c>
      <c r="SQ7" s="55" t="s">
        <v>21</v>
      </c>
      <c r="SR7" s="58" t="s">
        <v>22</v>
      </c>
      <c r="SS7" s="55" t="s">
        <v>21</v>
      </c>
      <c r="ST7" s="58" t="s">
        <v>22</v>
      </c>
      <c r="SU7" s="55" t="s">
        <v>21</v>
      </c>
      <c r="SV7" s="58" t="s">
        <v>22</v>
      </c>
      <c r="SW7" s="55" t="s">
        <v>21</v>
      </c>
      <c r="SX7" s="58" t="s">
        <v>22</v>
      </c>
      <c r="SY7" s="55" t="s">
        <v>21</v>
      </c>
      <c r="SZ7" s="58" t="s">
        <v>22</v>
      </c>
      <c r="TA7" s="55" t="s">
        <v>21</v>
      </c>
      <c r="TB7" s="58" t="s">
        <v>22</v>
      </c>
      <c r="TC7" s="55" t="s">
        <v>21</v>
      </c>
      <c r="TD7" s="58" t="s">
        <v>22</v>
      </c>
      <c r="TE7" s="55" t="s">
        <v>21</v>
      </c>
      <c r="TF7" s="58" t="s">
        <v>22</v>
      </c>
      <c r="TG7" s="55" t="s">
        <v>21</v>
      </c>
      <c r="TH7" s="58" t="s">
        <v>22</v>
      </c>
      <c r="TI7" s="55" t="s">
        <v>21</v>
      </c>
      <c r="TJ7" s="58" t="s">
        <v>22</v>
      </c>
      <c r="TK7" s="55" t="s">
        <v>21</v>
      </c>
      <c r="TL7" s="58" t="s">
        <v>22</v>
      </c>
      <c r="TM7" s="55" t="s">
        <v>21</v>
      </c>
      <c r="TN7" s="58" t="s">
        <v>22</v>
      </c>
      <c r="TO7" s="55" t="s">
        <v>21</v>
      </c>
      <c r="TP7" s="58" t="s">
        <v>22</v>
      </c>
      <c r="TQ7" s="55" t="s">
        <v>21</v>
      </c>
      <c r="TR7" s="58" t="s">
        <v>22</v>
      </c>
      <c r="TS7" s="55" t="s">
        <v>21</v>
      </c>
      <c r="TT7" s="58" t="s">
        <v>22</v>
      </c>
      <c r="TU7" s="55" t="s">
        <v>21</v>
      </c>
      <c r="TV7" s="58" t="s">
        <v>22</v>
      </c>
      <c r="TW7" s="55" t="s">
        <v>21</v>
      </c>
      <c r="TX7" s="58" t="s">
        <v>22</v>
      </c>
      <c r="TY7" s="55" t="s">
        <v>21</v>
      </c>
      <c r="TZ7" s="58" t="s">
        <v>22</v>
      </c>
      <c r="UA7" s="55" t="s">
        <v>21</v>
      </c>
      <c r="UB7" s="58" t="s">
        <v>22</v>
      </c>
      <c r="UC7" s="55" t="s">
        <v>21</v>
      </c>
      <c r="UD7" s="58" t="s">
        <v>22</v>
      </c>
      <c r="UE7" s="55" t="s">
        <v>21</v>
      </c>
      <c r="UF7" s="58" t="s">
        <v>22</v>
      </c>
      <c r="UG7" s="55" t="s">
        <v>21</v>
      </c>
      <c r="UH7" s="58" t="s">
        <v>22</v>
      </c>
      <c r="UI7" s="55" t="s">
        <v>21</v>
      </c>
      <c r="UJ7" s="58" t="s">
        <v>22</v>
      </c>
      <c r="UK7" s="55" t="s">
        <v>21</v>
      </c>
      <c r="UL7" s="58" t="s">
        <v>22</v>
      </c>
      <c r="UM7" s="55" t="s">
        <v>21</v>
      </c>
      <c r="UN7" s="58" t="s">
        <v>22</v>
      </c>
      <c r="UO7" s="55" t="s">
        <v>21</v>
      </c>
      <c r="UP7" s="58" t="s">
        <v>22</v>
      </c>
      <c r="UQ7" s="55" t="s">
        <v>21</v>
      </c>
      <c r="UR7" s="58" t="s">
        <v>22</v>
      </c>
      <c r="US7" s="55" t="s">
        <v>21</v>
      </c>
      <c r="UT7" s="58" t="s">
        <v>22</v>
      </c>
      <c r="UU7" s="55" t="s">
        <v>21</v>
      </c>
      <c r="UV7" s="58" t="s">
        <v>22</v>
      </c>
      <c r="UW7" s="55" t="s">
        <v>21</v>
      </c>
      <c r="UX7" s="58" t="s">
        <v>22</v>
      </c>
      <c r="UY7" s="55" t="s">
        <v>21</v>
      </c>
      <c r="UZ7" s="58" t="s">
        <v>22</v>
      </c>
      <c r="VA7" s="55" t="s">
        <v>21</v>
      </c>
      <c r="VB7" s="58" t="s">
        <v>22</v>
      </c>
      <c r="VC7" s="55" t="s">
        <v>21</v>
      </c>
      <c r="VD7" s="58" t="s">
        <v>22</v>
      </c>
      <c r="VE7" s="55" t="s">
        <v>21</v>
      </c>
      <c r="VF7" s="58" t="s">
        <v>22</v>
      </c>
      <c r="VG7" s="55" t="s">
        <v>21</v>
      </c>
      <c r="VH7" s="58" t="s">
        <v>22</v>
      </c>
      <c r="VI7" s="55" t="s">
        <v>21</v>
      </c>
      <c r="VJ7" s="58" t="s">
        <v>22</v>
      </c>
      <c r="VK7" s="55" t="s">
        <v>21</v>
      </c>
      <c r="VL7" s="58" t="s">
        <v>22</v>
      </c>
      <c r="VM7" s="55" t="s">
        <v>21</v>
      </c>
      <c r="VN7" s="58" t="s">
        <v>22</v>
      </c>
      <c r="VO7" s="55" t="s">
        <v>21</v>
      </c>
      <c r="VP7" s="58" t="s">
        <v>22</v>
      </c>
      <c r="VQ7" s="55" t="s">
        <v>21</v>
      </c>
      <c r="VR7" s="58" t="s">
        <v>22</v>
      </c>
      <c r="VS7" s="55" t="s">
        <v>21</v>
      </c>
      <c r="VT7" s="58" t="s">
        <v>22</v>
      </c>
      <c r="VU7" s="55" t="s">
        <v>21</v>
      </c>
      <c r="VV7" s="58" t="s">
        <v>22</v>
      </c>
      <c r="VW7" s="55" t="s">
        <v>21</v>
      </c>
      <c r="VX7" s="58" t="s">
        <v>22</v>
      </c>
      <c r="VY7" s="55" t="s">
        <v>21</v>
      </c>
      <c r="VZ7" s="58" t="s">
        <v>22</v>
      </c>
      <c r="WA7" s="55" t="s">
        <v>21</v>
      </c>
      <c r="WB7" s="58" t="s">
        <v>22</v>
      </c>
      <c r="WC7" s="55" t="s">
        <v>21</v>
      </c>
      <c r="WD7" s="58" t="s">
        <v>22</v>
      </c>
      <c r="WE7" s="55" t="s">
        <v>21</v>
      </c>
      <c r="WF7" s="58" t="s">
        <v>22</v>
      </c>
      <c r="WG7" s="55" t="s">
        <v>21</v>
      </c>
      <c r="WH7" s="58" t="s">
        <v>22</v>
      </c>
      <c r="WI7" s="55" t="s">
        <v>21</v>
      </c>
      <c r="WJ7" s="58" t="s">
        <v>22</v>
      </c>
      <c r="WK7" s="55" t="s">
        <v>21</v>
      </c>
      <c r="WL7" s="58" t="s">
        <v>22</v>
      </c>
      <c r="WM7" s="55" t="s">
        <v>21</v>
      </c>
      <c r="WN7" s="58" t="s">
        <v>22</v>
      </c>
      <c r="WO7" s="55" t="s">
        <v>21</v>
      </c>
      <c r="WP7" s="58" t="s">
        <v>22</v>
      </c>
      <c r="WQ7" s="55" t="s">
        <v>21</v>
      </c>
      <c r="WR7" s="58" t="s">
        <v>22</v>
      </c>
      <c r="WS7" s="55" t="s">
        <v>21</v>
      </c>
      <c r="WT7" s="58" t="s">
        <v>22</v>
      </c>
      <c r="WU7" s="55" t="s">
        <v>21</v>
      </c>
      <c r="WV7" s="58" t="s">
        <v>22</v>
      </c>
      <c r="WW7" s="55" t="s">
        <v>21</v>
      </c>
      <c r="WX7" s="58" t="s">
        <v>22</v>
      </c>
      <c r="WY7" s="55" t="s">
        <v>21</v>
      </c>
      <c r="WZ7" s="58" t="s">
        <v>22</v>
      </c>
      <c r="XA7" s="55" t="s">
        <v>21</v>
      </c>
      <c r="XB7" s="58" t="s">
        <v>22</v>
      </c>
      <c r="XC7" s="55" t="s">
        <v>21</v>
      </c>
      <c r="XD7" s="58" t="s">
        <v>22</v>
      </c>
      <c r="XE7" s="55" t="s">
        <v>21</v>
      </c>
      <c r="XF7" s="58" t="s">
        <v>22</v>
      </c>
      <c r="XG7" s="55" t="s">
        <v>21</v>
      </c>
      <c r="XH7" s="58" t="s">
        <v>22</v>
      </c>
      <c r="XI7" s="55" t="s">
        <v>21</v>
      </c>
      <c r="XJ7" s="58" t="s">
        <v>22</v>
      </c>
      <c r="XK7" s="55" t="s">
        <v>21</v>
      </c>
      <c r="XL7" s="58" t="s">
        <v>22</v>
      </c>
      <c r="XM7" s="55" t="s">
        <v>21</v>
      </c>
      <c r="XN7" s="58" t="s">
        <v>22</v>
      </c>
      <c r="XO7" s="55" t="s">
        <v>21</v>
      </c>
      <c r="XP7" s="58" t="s">
        <v>22</v>
      </c>
      <c r="XQ7" s="55" t="s">
        <v>21</v>
      </c>
      <c r="XR7" s="58" t="s">
        <v>22</v>
      </c>
      <c r="XS7" s="55" t="s">
        <v>21</v>
      </c>
      <c r="XT7" s="58" t="s">
        <v>22</v>
      </c>
      <c r="XU7" s="55" t="s">
        <v>21</v>
      </c>
      <c r="XV7" s="58" t="s">
        <v>22</v>
      </c>
      <c r="XW7" s="55" t="s">
        <v>21</v>
      </c>
      <c r="XX7" s="58" t="s">
        <v>22</v>
      </c>
      <c r="XY7" s="55" t="s">
        <v>21</v>
      </c>
      <c r="XZ7" s="58" t="s">
        <v>22</v>
      </c>
      <c r="YA7" s="55" t="s">
        <v>21</v>
      </c>
      <c r="YB7" s="58" t="s">
        <v>22</v>
      </c>
      <c r="YC7" s="55" t="s">
        <v>21</v>
      </c>
      <c r="YD7" s="58" t="s">
        <v>22</v>
      </c>
      <c r="YE7" s="55" t="s">
        <v>21</v>
      </c>
      <c r="YF7" s="58" t="s">
        <v>22</v>
      </c>
      <c r="YG7" s="55" t="s">
        <v>21</v>
      </c>
      <c r="YH7" s="58" t="s">
        <v>22</v>
      </c>
      <c r="YI7" s="55" t="s">
        <v>21</v>
      </c>
      <c r="YJ7" s="58" t="s">
        <v>22</v>
      </c>
      <c r="YK7" s="55" t="s">
        <v>21</v>
      </c>
      <c r="YL7" s="58" t="s">
        <v>22</v>
      </c>
      <c r="YM7" s="55" t="s">
        <v>21</v>
      </c>
      <c r="YN7" s="58" t="s">
        <v>22</v>
      </c>
      <c r="YO7" s="55" t="s">
        <v>21</v>
      </c>
      <c r="YP7" s="58" t="s">
        <v>22</v>
      </c>
      <c r="YQ7" s="55" t="s">
        <v>21</v>
      </c>
      <c r="YR7" s="58" t="s">
        <v>22</v>
      </c>
      <c r="YS7" s="55" t="s">
        <v>21</v>
      </c>
      <c r="YT7" s="58" t="s">
        <v>22</v>
      </c>
      <c r="YU7" s="55" t="s">
        <v>21</v>
      </c>
      <c r="YV7" s="58" t="s">
        <v>22</v>
      </c>
      <c r="YW7" s="55" t="s">
        <v>21</v>
      </c>
      <c r="YX7" s="58" t="s">
        <v>22</v>
      </c>
      <c r="YY7" s="55" t="s">
        <v>21</v>
      </c>
      <c r="YZ7" s="58" t="s">
        <v>22</v>
      </c>
      <c r="ZA7" s="55" t="s">
        <v>21</v>
      </c>
      <c r="ZB7" s="58" t="s">
        <v>22</v>
      </c>
      <c r="ZC7" s="55" t="s">
        <v>21</v>
      </c>
      <c r="ZD7" s="58" t="s">
        <v>22</v>
      </c>
      <c r="ZE7" s="55" t="s">
        <v>21</v>
      </c>
      <c r="ZF7" s="58" t="s">
        <v>22</v>
      </c>
      <c r="ZG7" s="55" t="s">
        <v>21</v>
      </c>
      <c r="ZH7" s="58" t="s">
        <v>22</v>
      </c>
      <c r="ZI7" s="55" t="s">
        <v>21</v>
      </c>
      <c r="ZJ7" s="58" t="s">
        <v>22</v>
      </c>
      <c r="ZK7" s="55" t="s">
        <v>21</v>
      </c>
      <c r="ZL7" s="58" t="s">
        <v>22</v>
      </c>
      <c r="ZM7" s="55" t="s">
        <v>21</v>
      </c>
      <c r="ZN7" s="58" t="s">
        <v>22</v>
      </c>
      <c r="ZO7" s="55" t="s">
        <v>21</v>
      </c>
      <c r="ZP7" s="58" t="s">
        <v>22</v>
      </c>
      <c r="ZQ7" s="55" t="s">
        <v>21</v>
      </c>
      <c r="ZR7" s="58" t="s">
        <v>22</v>
      </c>
      <c r="ZS7" s="55" t="s">
        <v>21</v>
      </c>
      <c r="ZT7" s="58" t="s">
        <v>22</v>
      </c>
      <c r="ZU7" s="55" t="s">
        <v>21</v>
      </c>
      <c r="ZV7" s="58" t="s">
        <v>22</v>
      </c>
      <c r="ZW7" s="55" t="s">
        <v>21</v>
      </c>
      <c r="ZX7" s="58" t="s">
        <v>22</v>
      </c>
      <c r="ZY7" s="55" t="s">
        <v>21</v>
      </c>
      <c r="ZZ7" s="58" t="s">
        <v>22</v>
      </c>
      <c r="AAA7" s="55" t="s">
        <v>21</v>
      </c>
      <c r="AAB7" s="58" t="s">
        <v>22</v>
      </c>
      <c r="AAC7" s="55" t="s">
        <v>21</v>
      </c>
      <c r="AAD7" s="58" t="s">
        <v>22</v>
      </c>
      <c r="AAE7" s="55" t="s">
        <v>21</v>
      </c>
      <c r="AAF7" s="58" t="s">
        <v>22</v>
      </c>
      <c r="AAG7" s="55" t="s">
        <v>21</v>
      </c>
      <c r="AAH7" s="58" t="s">
        <v>22</v>
      </c>
      <c r="AAI7" s="55" t="s">
        <v>21</v>
      </c>
      <c r="AAJ7" s="58" t="s">
        <v>22</v>
      </c>
      <c r="AAK7" s="55" t="s">
        <v>21</v>
      </c>
      <c r="AAL7" s="58" t="s">
        <v>22</v>
      </c>
      <c r="AAM7" s="55" t="s">
        <v>21</v>
      </c>
      <c r="AAN7" s="58" t="s">
        <v>22</v>
      </c>
      <c r="AAO7" s="55" t="s">
        <v>21</v>
      </c>
      <c r="AAP7" s="58" t="s">
        <v>22</v>
      </c>
      <c r="AAQ7" s="55" t="s">
        <v>21</v>
      </c>
      <c r="AAR7" s="58" t="s">
        <v>22</v>
      </c>
      <c r="AAS7" s="55" t="s">
        <v>21</v>
      </c>
      <c r="AAT7" s="58" t="s">
        <v>22</v>
      </c>
      <c r="AAU7" s="55" t="s">
        <v>21</v>
      </c>
      <c r="AAV7" s="58" t="s">
        <v>22</v>
      </c>
      <c r="AAW7" s="55" t="s">
        <v>21</v>
      </c>
      <c r="AAX7" s="58" t="s">
        <v>22</v>
      </c>
      <c r="AAY7" s="55" t="s">
        <v>21</v>
      </c>
      <c r="AAZ7" s="58" t="s">
        <v>22</v>
      </c>
      <c r="ABA7" s="55" t="s">
        <v>21</v>
      </c>
      <c r="ABB7" s="58" t="s">
        <v>22</v>
      </c>
      <c r="ABC7" s="55" t="s">
        <v>21</v>
      </c>
      <c r="ABD7" s="58" t="s">
        <v>22</v>
      </c>
      <c r="ABE7" s="55" t="s">
        <v>21</v>
      </c>
      <c r="ABF7" s="58" t="s">
        <v>22</v>
      </c>
      <c r="ABG7" s="55" t="s">
        <v>21</v>
      </c>
      <c r="ABH7" s="58" t="s">
        <v>22</v>
      </c>
      <c r="ABI7" s="55" t="s">
        <v>21</v>
      </c>
      <c r="ABJ7" s="58" t="s">
        <v>22</v>
      </c>
      <c r="ABK7" s="55" t="s">
        <v>21</v>
      </c>
      <c r="ABL7" s="58" t="s">
        <v>22</v>
      </c>
      <c r="ABM7" s="55" t="s">
        <v>21</v>
      </c>
      <c r="ABN7" s="58" t="s">
        <v>22</v>
      </c>
      <c r="ABO7" s="55" t="s">
        <v>21</v>
      </c>
      <c r="ABP7" s="58" t="s">
        <v>22</v>
      </c>
      <c r="ABQ7" s="55" t="s">
        <v>21</v>
      </c>
      <c r="ABR7" s="58" t="s">
        <v>22</v>
      </c>
      <c r="ABS7" s="55" t="s">
        <v>21</v>
      </c>
      <c r="ABT7" s="58" t="s">
        <v>22</v>
      </c>
      <c r="ABU7" s="55" t="s">
        <v>21</v>
      </c>
      <c r="ABV7" s="58" t="s">
        <v>22</v>
      </c>
      <c r="ABW7" s="55" t="s">
        <v>21</v>
      </c>
      <c r="ABX7" s="58" t="s">
        <v>22</v>
      </c>
      <c r="ABY7" s="55" t="s">
        <v>21</v>
      </c>
      <c r="ABZ7" s="58" t="s">
        <v>22</v>
      </c>
      <c r="ACA7" s="55" t="s">
        <v>21</v>
      </c>
      <c r="ACB7" s="58" t="s">
        <v>22</v>
      </c>
      <c r="ACC7" s="55" t="s">
        <v>21</v>
      </c>
      <c r="ACD7" s="58" t="s">
        <v>22</v>
      </c>
      <c r="ACE7" s="55" t="s">
        <v>21</v>
      </c>
      <c r="ACF7" s="58" t="s">
        <v>22</v>
      </c>
      <c r="ACG7" s="55" t="s">
        <v>21</v>
      </c>
      <c r="ACH7" s="58" t="s">
        <v>22</v>
      </c>
      <c r="ACI7" s="55" t="s">
        <v>21</v>
      </c>
      <c r="ACJ7" s="58" t="s">
        <v>22</v>
      </c>
      <c r="ACK7" s="55" t="s">
        <v>21</v>
      </c>
      <c r="ACL7" s="58" t="s">
        <v>22</v>
      </c>
      <c r="ACM7" s="55" t="s">
        <v>21</v>
      </c>
      <c r="ACN7" s="58" t="s">
        <v>22</v>
      </c>
      <c r="ACO7" s="55" t="s">
        <v>21</v>
      </c>
      <c r="ACP7" s="58" t="s">
        <v>22</v>
      </c>
    </row>
    <row r="8" spans="1:770" ht="48.75" customHeight="1">
      <c r="A8" s="423" t="s">
        <v>170</v>
      </c>
      <c r="B8" s="420"/>
      <c r="C8" s="68">
        <f>COUNTIFS(SEGUIMIENTO_PERSONAL!$J$10:$J$42,"E",SEGUIMIENTO_PERSONAL!$M$10:$M$42,"ENERO")+COUNTIFS(SEGUIMIENTO_PERSONAL!$J$10:$J$42,"P",SEGUIMIENTO_PERSONAL!$M$10:$M$42,"ENERO")</f>
        <v>11</v>
      </c>
      <c r="D8" s="6" t="e">
        <v>#VALUE!</v>
      </c>
      <c r="E8" s="6" t="e">
        <v>#VALUE!</v>
      </c>
      <c r="F8" s="6" t="e">
        <v>#VALUE!</v>
      </c>
      <c r="G8" s="6" t="e">
        <v>#VALUE!</v>
      </c>
      <c r="H8" s="6" t="e">
        <v>#VALUE!</v>
      </c>
      <c r="I8" s="6" t="e">
        <v>#VALUE!</v>
      </c>
      <c r="J8" s="6" t="e">
        <v>#VALUE!</v>
      </c>
      <c r="K8" s="6" t="e">
        <v>#VALUE!</v>
      </c>
      <c r="L8" s="6" t="e">
        <v>#VALUE!</v>
      </c>
      <c r="M8" s="6" t="e">
        <v>#VALUE!</v>
      </c>
      <c r="N8" s="6" t="e">
        <v>#VALUE!</v>
      </c>
      <c r="O8" s="6" t="e">
        <v>#VALUE!</v>
      </c>
      <c r="P8" s="6" t="e">
        <v>#VALUE!</v>
      </c>
      <c r="Q8" s="6" t="e">
        <v>#VALUE!</v>
      </c>
      <c r="R8" s="6" t="e">
        <v>#VALUE!</v>
      </c>
      <c r="S8" s="6" t="e">
        <v>#VALUE!</v>
      </c>
      <c r="T8" s="6" t="e">
        <v>#VALUE!</v>
      </c>
      <c r="U8" s="6" t="e">
        <v>#VALUE!</v>
      </c>
      <c r="V8" s="6" t="e">
        <v>#VALUE!</v>
      </c>
      <c r="W8" s="6" t="e">
        <v>#VALUE!</v>
      </c>
      <c r="X8" s="6" t="e">
        <v>#VALUE!</v>
      </c>
      <c r="Y8" s="6" t="e">
        <v>#VALUE!</v>
      </c>
      <c r="Z8" s="6" t="e">
        <v>#VALUE!</v>
      </c>
      <c r="AA8" s="68" t="e">
        <v>#VALUE!</v>
      </c>
      <c r="AB8" s="6" t="e">
        <v>#VALUE!</v>
      </c>
      <c r="AC8" s="68" t="e">
        <v>#VALUE!</v>
      </c>
      <c r="AD8" s="6" t="e">
        <v>#VALUE!</v>
      </c>
      <c r="AE8" s="68" t="e">
        <v>#VALUE!</v>
      </c>
      <c r="AF8" s="6" t="e">
        <v>#VALUE!</v>
      </c>
      <c r="AG8" s="68" t="e">
        <v>#VALUE!</v>
      </c>
      <c r="AH8" s="6" t="e">
        <v>#VALUE!</v>
      </c>
      <c r="AI8" s="68" t="e">
        <v>#VALUE!</v>
      </c>
      <c r="AJ8" s="6" t="e">
        <v>#VALUE!</v>
      </c>
      <c r="AK8" s="68" t="e">
        <v>#VALUE!</v>
      </c>
      <c r="AL8" s="6" t="e">
        <v>#VALUE!</v>
      </c>
      <c r="AM8" s="68" t="e">
        <v>#VALUE!</v>
      </c>
      <c r="AN8" s="6" t="e">
        <v>#VALUE!</v>
      </c>
      <c r="AO8" s="68" t="e">
        <v>#VALUE!</v>
      </c>
      <c r="AP8" s="6" t="e">
        <v>#VALUE!</v>
      </c>
      <c r="AQ8" s="68" t="e">
        <v>#VALUE!</v>
      </c>
      <c r="AR8" s="6" t="e">
        <v>#VALUE!</v>
      </c>
      <c r="AS8" s="68" t="e">
        <v>#VALUE!</v>
      </c>
      <c r="AT8" s="6" t="e">
        <v>#VALUE!</v>
      </c>
      <c r="AU8" s="68" t="e">
        <v>#VALUE!</v>
      </c>
      <c r="AV8" s="6" t="e">
        <v>#VALUE!</v>
      </c>
      <c r="AW8" s="68" t="e">
        <v>#VALUE!</v>
      </c>
      <c r="AX8" s="6" t="e">
        <v>#VALUE!</v>
      </c>
      <c r="AY8" s="68" t="e">
        <v>#VALUE!</v>
      </c>
      <c r="AZ8" s="6" t="e">
        <v>#VALUE!</v>
      </c>
      <c r="BA8" s="68" t="e">
        <v>#VALUE!</v>
      </c>
      <c r="BB8" s="6" t="e">
        <v>#VALUE!</v>
      </c>
      <c r="BC8" s="68" t="e">
        <v>#VALUE!</v>
      </c>
      <c r="BD8" s="6" t="e">
        <v>#VALUE!</v>
      </c>
      <c r="BE8" s="68" t="e">
        <v>#VALUE!</v>
      </c>
      <c r="BF8" s="6" t="e">
        <v>#VALUE!</v>
      </c>
      <c r="BG8" s="68" t="e">
        <v>#VALUE!</v>
      </c>
      <c r="BH8" s="6" t="e">
        <v>#VALUE!</v>
      </c>
      <c r="BI8" s="68" t="e">
        <v>#VALUE!</v>
      </c>
      <c r="BJ8" s="6" t="e">
        <v>#VALUE!</v>
      </c>
      <c r="BK8" s="68" t="e">
        <v>#VALUE!</v>
      </c>
      <c r="BL8" s="6" t="e">
        <v>#VALUE!</v>
      </c>
      <c r="BM8" s="68" t="e">
        <v>#VALUE!</v>
      </c>
      <c r="BN8" s="6" t="e">
        <v>#VALUE!</v>
      </c>
      <c r="BO8" s="68" t="e">
        <v>#VALUE!</v>
      </c>
      <c r="BP8" s="6" t="e">
        <v>#VALUE!</v>
      </c>
      <c r="BQ8" s="68" t="e">
        <v>#VALUE!</v>
      </c>
      <c r="BR8" s="6" t="e">
        <v>#VALUE!</v>
      </c>
      <c r="BS8" s="68" t="e">
        <v>#VALUE!</v>
      </c>
      <c r="BT8" s="6" t="e">
        <v>#VALUE!</v>
      </c>
      <c r="BU8" s="68" t="e">
        <v>#VALUE!</v>
      </c>
      <c r="BV8" s="6" t="e">
        <v>#VALUE!</v>
      </c>
      <c r="BW8" s="68" t="e">
        <v>#VALUE!</v>
      </c>
      <c r="BX8" s="6"/>
      <c r="BY8" s="68"/>
      <c r="BZ8" s="6"/>
      <c r="CA8" s="68"/>
      <c r="CB8" s="6"/>
      <c r="CC8" s="68"/>
      <c r="CD8" s="6"/>
      <c r="CE8" s="68"/>
      <c r="CF8" s="6"/>
      <c r="CG8" s="68"/>
      <c r="CH8" s="6"/>
      <c r="CI8" s="68"/>
      <c r="CJ8" s="6"/>
      <c r="CK8" s="68"/>
      <c r="CL8" s="6"/>
      <c r="CM8" s="68"/>
      <c r="CN8" s="6"/>
      <c r="CO8" s="68"/>
      <c r="CP8" s="6"/>
      <c r="CQ8" s="68"/>
      <c r="CR8" s="6"/>
      <c r="CS8" s="68"/>
      <c r="CT8" s="6"/>
      <c r="CU8" s="68" t="e">
        <v>#VALUE!</v>
      </c>
      <c r="CV8" s="6" t="e">
        <v>#VALUE!</v>
      </c>
      <c r="CW8" s="68" t="e">
        <v>#VALUE!</v>
      </c>
      <c r="CX8" s="6" t="e">
        <v>#VALUE!</v>
      </c>
      <c r="CY8" s="68" t="e">
        <v>#VALUE!</v>
      </c>
      <c r="CZ8" s="6" t="e">
        <v>#VALUE!</v>
      </c>
      <c r="DA8" s="68" t="e">
        <v>#VALUE!</v>
      </c>
      <c r="DB8" s="6" t="e">
        <v>#VALUE!</v>
      </c>
      <c r="DC8" s="68" t="e">
        <v>#VALUE!</v>
      </c>
      <c r="DD8" s="6" t="e">
        <v>#VALUE!</v>
      </c>
      <c r="DE8" s="68" t="e">
        <v>#VALUE!</v>
      </c>
      <c r="DF8" s="6" t="e">
        <v>#VALUE!</v>
      </c>
      <c r="DG8" s="68" t="e">
        <v>#VALUE!</v>
      </c>
      <c r="DH8" s="6" t="e">
        <v>#VALUE!</v>
      </c>
      <c r="DI8" s="68" t="e">
        <v>#VALUE!</v>
      </c>
      <c r="DJ8" s="6" t="e">
        <v>#VALUE!</v>
      </c>
      <c r="DK8" s="68" t="e">
        <v>#VALUE!</v>
      </c>
      <c r="DL8" s="6" t="e">
        <v>#VALUE!</v>
      </c>
      <c r="DM8" s="68" t="e">
        <v>#VALUE!</v>
      </c>
      <c r="DN8" s="6" t="e">
        <v>#VALUE!</v>
      </c>
      <c r="DO8" s="68" t="e">
        <v>#VALUE!</v>
      </c>
      <c r="DP8" s="6" t="e">
        <v>#VALUE!</v>
      </c>
      <c r="DQ8" s="68" t="e">
        <v>#VALUE!</v>
      </c>
      <c r="DR8" s="6" t="e">
        <v>#VALUE!</v>
      </c>
      <c r="DS8" s="68" t="e">
        <v>#VALUE!</v>
      </c>
      <c r="DT8" s="6" t="e">
        <v>#VALUE!</v>
      </c>
      <c r="DU8" s="68" t="e">
        <v>#VALUE!</v>
      </c>
      <c r="DV8" s="6" t="e">
        <v>#VALUE!</v>
      </c>
      <c r="DW8" s="68" t="e">
        <v>#VALUE!</v>
      </c>
      <c r="DX8" s="6" t="e">
        <v>#VALUE!</v>
      </c>
      <c r="DY8" s="68" t="e">
        <v>#VALUE!</v>
      </c>
      <c r="DZ8" s="6" t="e">
        <v>#VALUE!</v>
      </c>
      <c r="EA8" s="68" t="e">
        <v>#VALUE!</v>
      </c>
      <c r="EB8" s="6" t="e">
        <v>#VALUE!</v>
      </c>
      <c r="EC8" s="68" t="e">
        <v>#VALUE!</v>
      </c>
      <c r="ED8" s="6" t="e">
        <v>#VALUE!</v>
      </c>
      <c r="EE8" s="68" t="e">
        <v>#VALUE!</v>
      </c>
      <c r="EF8" s="6" t="e">
        <v>#VALUE!</v>
      </c>
      <c r="EG8" s="68" t="e">
        <v>#VALUE!</v>
      </c>
      <c r="EH8" s="6" t="e">
        <v>#VALUE!</v>
      </c>
      <c r="EI8" s="68" t="e">
        <v>#VALUE!</v>
      </c>
      <c r="EJ8" s="6" t="e">
        <v>#VALUE!</v>
      </c>
      <c r="EK8" s="68" t="e">
        <v>#VALUE!</v>
      </c>
      <c r="EL8" s="6" t="e">
        <v>#VALUE!</v>
      </c>
      <c r="EM8" s="68" t="e">
        <v>#VALUE!</v>
      </c>
      <c r="EN8" s="6" t="e">
        <v>#VALUE!</v>
      </c>
      <c r="EO8" s="68" t="e">
        <v>#VALUE!</v>
      </c>
      <c r="EP8" s="6" t="e">
        <v>#VALUE!</v>
      </c>
      <c r="EQ8" s="68" t="e">
        <v>#VALUE!</v>
      </c>
      <c r="ER8" s="6" t="e">
        <v>#VALUE!</v>
      </c>
      <c r="ES8" s="68" t="e">
        <v>#VALUE!</v>
      </c>
      <c r="ET8" s="6" t="e">
        <v>#VALUE!</v>
      </c>
      <c r="EU8" s="68" t="e">
        <v>#VALUE!</v>
      </c>
      <c r="EV8" s="6" t="e">
        <v>#VALUE!</v>
      </c>
      <c r="EW8" s="68" t="e">
        <v>#VALUE!</v>
      </c>
      <c r="EX8" s="6" t="e">
        <v>#VALUE!</v>
      </c>
      <c r="EY8" s="68" t="e">
        <v>#VALUE!</v>
      </c>
      <c r="EZ8" s="6" t="e">
        <v>#VALUE!</v>
      </c>
      <c r="FA8" s="68" t="e">
        <v>#VALUE!</v>
      </c>
      <c r="FB8" s="6" t="e">
        <v>#VALUE!</v>
      </c>
      <c r="FC8" s="68" t="e">
        <v>#VALUE!</v>
      </c>
      <c r="FD8" s="6" t="e">
        <v>#VALUE!</v>
      </c>
      <c r="FE8" s="68" t="e">
        <v>#VALUE!</v>
      </c>
      <c r="FF8" s="6" t="e">
        <v>#VALUE!</v>
      </c>
      <c r="FG8" s="68" t="e">
        <v>#VALUE!</v>
      </c>
      <c r="FH8" s="6" t="e">
        <v>#VALUE!</v>
      </c>
      <c r="FI8" s="68" t="e">
        <v>#VALUE!</v>
      </c>
      <c r="FJ8" s="6" t="e">
        <v>#VALUE!</v>
      </c>
      <c r="FK8" s="68" t="e">
        <v>#VALUE!</v>
      </c>
      <c r="FL8" s="6" t="e">
        <v>#VALUE!</v>
      </c>
      <c r="FM8" s="68" t="e">
        <v>#VALUE!</v>
      </c>
      <c r="FN8" s="6" t="e">
        <v>#VALUE!</v>
      </c>
      <c r="FO8" s="68" t="e">
        <v>#VALUE!</v>
      </c>
      <c r="FP8" s="6" t="e">
        <v>#VALUE!</v>
      </c>
      <c r="FQ8" s="68" t="e">
        <v>#VALUE!</v>
      </c>
      <c r="FR8" s="6" t="e">
        <v>#VALUE!</v>
      </c>
      <c r="FS8" s="68" t="e">
        <v>#VALUE!</v>
      </c>
      <c r="FT8" s="6" t="e">
        <v>#VALUE!</v>
      </c>
      <c r="FU8" s="68" t="e">
        <v>#VALUE!</v>
      </c>
      <c r="FV8" s="6" t="e">
        <v>#VALUE!</v>
      </c>
      <c r="FW8" s="68" t="e">
        <v>#VALUE!</v>
      </c>
      <c r="FX8" s="6" t="e">
        <v>#VALUE!</v>
      </c>
      <c r="FY8" s="68" t="e">
        <v>#VALUE!</v>
      </c>
      <c r="FZ8" s="6" t="e">
        <v>#VALUE!</v>
      </c>
      <c r="GA8" s="68" t="e">
        <v>#VALUE!</v>
      </c>
      <c r="GB8" s="6" t="e">
        <v>#VALUE!</v>
      </c>
      <c r="GC8" s="68" t="e">
        <v>#VALUE!</v>
      </c>
      <c r="GD8" s="6" t="e">
        <v>#VALUE!</v>
      </c>
      <c r="GE8" s="68" t="e">
        <v>#VALUE!</v>
      </c>
      <c r="GF8" s="6" t="e">
        <v>#VALUE!</v>
      </c>
      <c r="GG8" s="68" t="e">
        <v>#VALUE!</v>
      </c>
      <c r="GH8" s="6" t="e">
        <v>#VALUE!</v>
      </c>
      <c r="GI8" s="68" t="e">
        <v>#VALUE!</v>
      </c>
      <c r="GJ8" s="6" t="e">
        <v>#VALUE!</v>
      </c>
      <c r="GK8" s="68" t="e">
        <v>#VALUE!</v>
      </c>
      <c r="GL8" s="6" t="e">
        <v>#VALUE!</v>
      </c>
      <c r="GM8" s="68">
        <v>0</v>
      </c>
      <c r="GN8" s="68">
        <v>0</v>
      </c>
      <c r="GO8" s="68">
        <v>0</v>
      </c>
      <c r="GP8" s="68">
        <v>0</v>
      </c>
      <c r="GQ8" s="68">
        <v>0</v>
      </c>
      <c r="GR8" s="68">
        <v>0</v>
      </c>
      <c r="GS8" s="68">
        <v>0</v>
      </c>
      <c r="GT8" s="68">
        <v>0</v>
      </c>
      <c r="GU8" s="68" t="e">
        <v>#VALUE!</v>
      </c>
      <c r="GV8" s="6" t="e">
        <v>#VALUE!</v>
      </c>
      <c r="GW8" s="68">
        <v>0</v>
      </c>
      <c r="GX8" s="68">
        <v>0</v>
      </c>
      <c r="GY8" s="68">
        <v>0</v>
      </c>
      <c r="GZ8" s="68">
        <v>0</v>
      </c>
      <c r="HA8" s="68">
        <v>0</v>
      </c>
      <c r="HB8" s="68">
        <v>0</v>
      </c>
      <c r="HC8" s="68">
        <v>0</v>
      </c>
      <c r="HD8" s="68">
        <v>0</v>
      </c>
      <c r="HE8" s="68">
        <v>0</v>
      </c>
      <c r="HF8" s="68">
        <v>0</v>
      </c>
      <c r="HG8" s="68">
        <v>0</v>
      </c>
      <c r="HH8" s="68">
        <v>0</v>
      </c>
      <c r="HI8" s="68">
        <v>0</v>
      </c>
      <c r="HJ8" s="68">
        <v>0</v>
      </c>
      <c r="HK8" s="68">
        <v>0</v>
      </c>
      <c r="HL8" s="68">
        <v>0</v>
      </c>
      <c r="HM8" s="68">
        <v>0</v>
      </c>
      <c r="HN8" s="68">
        <v>0</v>
      </c>
      <c r="HO8" s="68">
        <v>0</v>
      </c>
      <c r="HP8" s="68">
        <v>0</v>
      </c>
      <c r="HQ8" s="68">
        <v>0</v>
      </c>
      <c r="HR8" s="68">
        <v>0</v>
      </c>
      <c r="HS8" s="68" t="e">
        <v>#VALUE!</v>
      </c>
      <c r="HT8" s="6" t="e">
        <v>#VALUE!</v>
      </c>
      <c r="HU8" s="68" t="e">
        <v>#VALUE!</v>
      </c>
      <c r="HV8" s="68" t="e">
        <v>#VALUE!</v>
      </c>
      <c r="HW8" s="68">
        <v>0</v>
      </c>
      <c r="HX8" s="68">
        <v>0</v>
      </c>
      <c r="HY8" s="68">
        <v>0</v>
      </c>
      <c r="HZ8" s="68">
        <v>0</v>
      </c>
      <c r="IA8" s="68">
        <v>0</v>
      </c>
      <c r="IB8" s="68">
        <v>0</v>
      </c>
      <c r="IC8" s="68">
        <v>0</v>
      </c>
      <c r="ID8" s="68">
        <v>0</v>
      </c>
      <c r="IE8" s="68">
        <v>0</v>
      </c>
      <c r="IF8" s="68">
        <v>0</v>
      </c>
      <c r="IG8" s="68">
        <v>0</v>
      </c>
      <c r="IH8" s="68">
        <v>0</v>
      </c>
      <c r="II8" s="68">
        <v>0</v>
      </c>
      <c r="IJ8" s="68">
        <v>0</v>
      </c>
      <c r="IK8" s="68">
        <v>0</v>
      </c>
      <c r="IL8" s="68">
        <v>0</v>
      </c>
      <c r="IM8" s="68">
        <v>0</v>
      </c>
      <c r="IN8" s="68">
        <v>0</v>
      </c>
      <c r="IO8" s="68">
        <v>0</v>
      </c>
      <c r="IP8" s="68">
        <v>0</v>
      </c>
      <c r="IQ8" s="68" t="e">
        <v>#VALUE!</v>
      </c>
      <c r="IR8" s="6" t="e">
        <v>#VALUE!</v>
      </c>
      <c r="IS8" s="68">
        <v>0</v>
      </c>
      <c r="IT8" s="68" t="e">
        <v>#VALUE!</v>
      </c>
      <c r="IU8" s="68" t="e">
        <v>#VALUE!</v>
      </c>
      <c r="IV8" s="68" t="e">
        <v>#VALUE!</v>
      </c>
      <c r="IW8" s="68">
        <v>0</v>
      </c>
      <c r="IX8" s="68">
        <v>0</v>
      </c>
      <c r="IY8" s="68">
        <v>0</v>
      </c>
      <c r="IZ8" s="68">
        <v>0</v>
      </c>
      <c r="JA8" s="68">
        <v>0</v>
      </c>
      <c r="JB8" s="68">
        <v>0</v>
      </c>
      <c r="JC8" s="68">
        <v>0</v>
      </c>
      <c r="JD8" s="68">
        <v>0</v>
      </c>
      <c r="JE8" s="68">
        <v>0</v>
      </c>
      <c r="JF8" s="68">
        <v>0</v>
      </c>
      <c r="JG8" s="68">
        <v>0</v>
      </c>
      <c r="JH8" s="68">
        <v>0</v>
      </c>
      <c r="JI8" s="68">
        <v>0</v>
      </c>
      <c r="JJ8" s="68">
        <v>0</v>
      </c>
      <c r="JK8" s="68">
        <v>0</v>
      </c>
      <c r="JL8" s="68">
        <v>0</v>
      </c>
      <c r="JM8" s="68">
        <v>0</v>
      </c>
      <c r="JN8" s="68">
        <v>0</v>
      </c>
      <c r="JO8" s="68" t="e">
        <v>#VALUE!</v>
      </c>
      <c r="JP8" s="6" t="e">
        <v>#VALUE!</v>
      </c>
      <c r="JQ8" s="68">
        <v>0</v>
      </c>
      <c r="JR8" s="68" t="e">
        <v>#VALUE!</v>
      </c>
      <c r="JS8" s="68">
        <v>0</v>
      </c>
      <c r="JT8" s="68">
        <v>0</v>
      </c>
      <c r="JU8" s="68" t="e">
        <v>#VALUE!</v>
      </c>
      <c r="JV8" s="68" t="e">
        <v>#VALUE!</v>
      </c>
      <c r="JW8" s="68">
        <v>0</v>
      </c>
      <c r="JX8" s="68">
        <v>0</v>
      </c>
      <c r="JY8" s="68">
        <v>0</v>
      </c>
      <c r="JZ8" s="68">
        <v>0</v>
      </c>
      <c r="KA8" s="68">
        <v>0</v>
      </c>
      <c r="KB8" s="68">
        <v>0</v>
      </c>
      <c r="KC8" s="68">
        <v>0</v>
      </c>
      <c r="KD8" s="68">
        <v>0</v>
      </c>
      <c r="KE8" s="68">
        <v>0</v>
      </c>
      <c r="KF8" s="68">
        <v>0</v>
      </c>
      <c r="KG8" s="68">
        <v>0</v>
      </c>
      <c r="KH8" s="68">
        <v>0</v>
      </c>
      <c r="KI8" s="68">
        <v>0</v>
      </c>
      <c r="KJ8" s="68">
        <v>0</v>
      </c>
      <c r="KK8" s="68">
        <v>0</v>
      </c>
      <c r="KL8" s="68">
        <v>0</v>
      </c>
      <c r="KM8" s="68" t="e">
        <v>#VALUE!</v>
      </c>
      <c r="KN8" s="6" t="e">
        <v>#VALUE!</v>
      </c>
      <c r="KO8" s="68">
        <v>0</v>
      </c>
      <c r="KP8" s="68" t="e">
        <v>#VALUE!</v>
      </c>
      <c r="KQ8" s="68">
        <v>0</v>
      </c>
      <c r="KR8" s="68">
        <v>0</v>
      </c>
      <c r="KS8" s="68">
        <v>0</v>
      </c>
      <c r="KT8" s="68">
        <v>0</v>
      </c>
      <c r="KU8" s="68" t="e">
        <v>#VALUE!</v>
      </c>
      <c r="KV8" s="68" t="e">
        <v>#VALUE!</v>
      </c>
      <c r="KW8" s="68">
        <v>0</v>
      </c>
      <c r="KX8" s="68">
        <v>0</v>
      </c>
      <c r="KY8" s="68">
        <v>0</v>
      </c>
      <c r="KZ8" s="68">
        <v>0</v>
      </c>
      <c r="LA8" s="68">
        <v>0</v>
      </c>
      <c r="LB8" s="68">
        <v>0</v>
      </c>
      <c r="LC8" s="68">
        <v>0</v>
      </c>
      <c r="LD8" s="68">
        <v>0</v>
      </c>
      <c r="LE8" s="68">
        <v>0</v>
      </c>
      <c r="LF8" s="68">
        <v>0</v>
      </c>
      <c r="LG8" s="68">
        <v>0</v>
      </c>
      <c r="LH8" s="68">
        <v>0</v>
      </c>
      <c r="LI8" s="68">
        <v>0</v>
      </c>
      <c r="LJ8" s="68">
        <v>0</v>
      </c>
      <c r="LK8" s="68" t="e">
        <v>#VALUE!</v>
      </c>
      <c r="LL8" s="6" t="e">
        <v>#VALUE!</v>
      </c>
      <c r="LM8" s="68">
        <v>0</v>
      </c>
      <c r="LN8" s="68" t="e">
        <v>#VALUE!</v>
      </c>
      <c r="LO8" s="68">
        <v>0</v>
      </c>
      <c r="LP8" s="68">
        <v>0</v>
      </c>
      <c r="LQ8" s="68">
        <v>0</v>
      </c>
      <c r="LR8" s="68">
        <v>0</v>
      </c>
      <c r="LS8" s="68">
        <v>0</v>
      </c>
      <c r="LT8" s="68">
        <v>0</v>
      </c>
      <c r="LU8" s="68" t="e">
        <v>#VALUE!</v>
      </c>
      <c r="LV8" s="68" t="e">
        <v>#VALUE!</v>
      </c>
      <c r="LW8" s="68">
        <v>0</v>
      </c>
      <c r="LX8" s="68">
        <v>0</v>
      </c>
      <c r="LY8" s="68">
        <v>0</v>
      </c>
      <c r="LZ8" s="68">
        <v>0</v>
      </c>
      <c r="MA8" s="68">
        <v>0</v>
      </c>
      <c r="MB8" s="68">
        <v>0</v>
      </c>
      <c r="MC8" s="68">
        <v>0</v>
      </c>
      <c r="MD8" s="68">
        <v>0</v>
      </c>
      <c r="ME8" s="68">
        <v>0</v>
      </c>
      <c r="MF8" s="68">
        <v>0</v>
      </c>
      <c r="MG8" s="68">
        <v>0</v>
      </c>
      <c r="MH8" s="68">
        <v>0</v>
      </c>
      <c r="MI8" s="68" t="e">
        <v>#VALUE!</v>
      </c>
      <c r="MJ8" s="6" t="e">
        <v>#VALUE!</v>
      </c>
      <c r="MK8" s="68">
        <v>0</v>
      </c>
      <c r="ML8" s="68" t="e">
        <v>#VALUE!</v>
      </c>
      <c r="MM8" s="68">
        <v>0</v>
      </c>
      <c r="MN8" s="68">
        <v>0</v>
      </c>
      <c r="MO8" s="68">
        <v>0</v>
      </c>
      <c r="MP8" s="68">
        <v>0</v>
      </c>
      <c r="MQ8" s="68">
        <v>0</v>
      </c>
      <c r="MR8" s="68">
        <v>0</v>
      </c>
      <c r="MS8" s="68">
        <v>0</v>
      </c>
      <c r="MT8" s="68">
        <v>0</v>
      </c>
      <c r="MU8" s="68" t="e">
        <v>#VALUE!</v>
      </c>
      <c r="MV8" s="68" t="e">
        <v>#VALUE!</v>
      </c>
      <c r="MW8" s="68">
        <v>0</v>
      </c>
      <c r="MX8" s="68">
        <v>0</v>
      </c>
      <c r="MY8" s="68">
        <v>0</v>
      </c>
      <c r="MZ8" s="68">
        <v>0</v>
      </c>
      <c r="NA8" s="68">
        <v>0</v>
      </c>
      <c r="NB8" s="68">
        <v>0</v>
      </c>
      <c r="NC8" s="68">
        <v>0</v>
      </c>
      <c r="ND8" s="68">
        <v>0</v>
      </c>
      <c r="NE8" s="68">
        <v>0</v>
      </c>
      <c r="NF8" s="68">
        <v>0</v>
      </c>
      <c r="NG8" s="68">
        <v>0</v>
      </c>
      <c r="NH8" s="68">
        <v>0</v>
      </c>
      <c r="NI8" s="68">
        <v>0</v>
      </c>
      <c r="NJ8" s="68">
        <v>0</v>
      </c>
      <c r="NK8" s="68">
        <v>0</v>
      </c>
      <c r="NL8" s="68">
        <v>0</v>
      </c>
      <c r="NM8" s="68">
        <v>0</v>
      </c>
      <c r="NN8" s="68">
        <v>0</v>
      </c>
      <c r="NO8" s="68">
        <v>0</v>
      </c>
      <c r="NP8" s="68">
        <v>0</v>
      </c>
      <c r="NQ8" s="68">
        <v>0</v>
      </c>
      <c r="NR8" s="68">
        <v>0</v>
      </c>
      <c r="NS8" s="68">
        <v>0</v>
      </c>
      <c r="NT8" s="68">
        <v>0</v>
      </c>
      <c r="NU8" s="68">
        <v>0</v>
      </c>
      <c r="NV8" s="68">
        <v>0</v>
      </c>
      <c r="NW8" s="68">
        <v>0</v>
      </c>
      <c r="NX8" s="68">
        <v>0</v>
      </c>
      <c r="NY8" s="68">
        <v>0</v>
      </c>
      <c r="NZ8" s="68">
        <v>0</v>
      </c>
      <c r="OA8" s="68">
        <v>0</v>
      </c>
      <c r="OB8" s="68">
        <v>0</v>
      </c>
      <c r="OC8" s="68">
        <v>0</v>
      </c>
      <c r="OD8" s="68">
        <v>0</v>
      </c>
      <c r="OE8" s="68">
        <v>0</v>
      </c>
      <c r="OF8" s="68">
        <v>0</v>
      </c>
      <c r="OG8" s="68">
        <v>0</v>
      </c>
      <c r="OH8" s="68">
        <v>0</v>
      </c>
      <c r="OI8" s="68">
        <v>0</v>
      </c>
      <c r="OJ8" s="68">
        <v>0</v>
      </c>
      <c r="OK8" s="68">
        <v>0</v>
      </c>
      <c r="OL8" s="68">
        <v>0</v>
      </c>
      <c r="OM8" s="68">
        <v>0</v>
      </c>
      <c r="ON8" s="68">
        <v>0</v>
      </c>
      <c r="OO8" s="68">
        <v>0</v>
      </c>
      <c r="OP8" s="68">
        <v>0</v>
      </c>
      <c r="OQ8" s="68">
        <v>0</v>
      </c>
      <c r="OR8" s="68">
        <v>0</v>
      </c>
      <c r="OS8" s="68">
        <v>0</v>
      </c>
      <c r="OT8" s="68">
        <v>0</v>
      </c>
      <c r="OU8" s="68">
        <v>0</v>
      </c>
      <c r="OV8" s="68">
        <v>0</v>
      </c>
      <c r="OW8" s="68">
        <v>0</v>
      </c>
      <c r="OX8" s="68">
        <v>0</v>
      </c>
      <c r="OY8" s="68">
        <v>0</v>
      </c>
      <c r="OZ8" s="68">
        <v>0</v>
      </c>
      <c r="PA8" s="68">
        <v>0</v>
      </c>
      <c r="PB8" s="68">
        <v>0</v>
      </c>
      <c r="PC8" s="68">
        <v>0</v>
      </c>
      <c r="PD8" s="68">
        <v>0</v>
      </c>
      <c r="PE8" s="68">
        <v>0</v>
      </c>
      <c r="PF8" s="68">
        <v>0</v>
      </c>
      <c r="PG8" s="68">
        <v>0</v>
      </c>
      <c r="PH8" s="68">
        <v>0</v>
      </c>
      <c r="PI8" s="68">
        <v>0</v>
      </c>
      <c r="PJ8" s="68">
        <v>0</v>
      </c>
      <c r="PK8" s="68">
        <v>0</v>
      </c>
      <c r="PL8" s="68">
        <v>0</v>
      </c>
      <c r="PM8" s="68">
        <v>0</v>
      </c>
      <c r="PN8" s="68">
        <v>0</v>
      </c>
      <c r="PO8" s="68">
        <v>0</v>
      </c>
      <c r="PP8" s="68">
        <v>0</v>
      </c>
      <c r="PQ8" s="68">
        <v>0</v>
      </c>
      <c r="PR8" s="68">
        <v>0</v>
      </c>
      <c r="PS8" s="68" t="e">
        <v>#VALUE!</v>
      </c>
      <c r="PT8" s="68" t="e">
        <v>#VALUE!</v>
      </c>
      <c r="PU8" s="68" t="e">
        <v>#VALUE!</v>
      </c>
      <c r="PV8" s="68" t="e">
        <v>#VALUE!</v>
      </c>
      <c r="PW8" s="68" t="e">
        <v>#VALUE!</v>
      </c>
      <c r="PX8" s="68" t="e">
        <v>#VALUE!</v>
      </c>
      <c r="PY8" s="68" t="e">
        <v>#VALUE!</v>
      </c>
      <c r="PZ8" s="68" t="e">
        <v>#VALUE!</v>
      </c>
      <c r="QA8" s="68" t="e">
        <v>#VALUE!</v>
      </c>
      <c r="QB8" s="68" t="e">
        <v>#VALUE!</v>
      </c>
      <c r="QC8" s="68" t="e">
        <v>#VALUE!</v>
      </c>
      <c r="QD8" s="68" t="e">
        <v>#VALUE!</v>
      </c>
      <c r="QE8" s="68" t="e">
        <v>#VALUE!</v>
      </c>
      <c r="QF8" s="68" t="e">
        <v>#VALUE!</v>
      </c>
      <c r="QG8" s="68" t="e">
        <v>#VALUE!</v>
      </c>
      <c r="QH8" s="68" t="e">
        <v>#VALUE!</v>
      </c>
      <c r="QI8" s="68" t="e">
        <v>#VALUE!</v>
      </c>
      <c r="QJ8" s="68" t="e">
        <v>#VALUE!</v>
      </c>
      <c r="QK8" s="68" t="e">
        <v>#VALUE!</v>
      </c>
      <c r="QL8" s="68" t="e">
        <v>#VALUE!</v>
      </c>
      <c r="QM8" s="68" t="e">
        <v>#VALUE!</v>
      </c>
      <c r="QN8" s="68" t="e">
        <v>#VALUE!</v>
      </c>
      <c r="QO8" s="68" t="e">
        <v>#VALUE!</v>
      </c>
      <c r="QP8" s="68" t="e">
        <v>#VALUE!</v>
      </c>
      <c r="QQ8" s="68">
        <v>0</v>
      </c>
      <c r="QR8" s="68">
        <v>0</v>
      </c>
      <c r="QS8" s="68">
        <v>0</v>
      </c>
      <c r="QT8" s="68">
        <v>0</v>
      </c>
      <c r="QU8" s="68">
        <v>0</v>
      </c>
      <c r="QV8" s="68">
        <v>0</v>
      </c>
      <c r="QW8" s="68">
        <v>0</v>
      </c>
      <c r="QX8" s="68">
        <v>0</v>
      </c>
      <c r="QY8" s="68">
        <v>0</v>
      </c>
      <c r="QZ8" s="68">
        <v>0</v>
      </c>
      <c r="RA8" s="68">
        <v>0</v>
      </c>
      <c r="RB8" s="68">
        <v>0</v>
      </c>
      <c r="RC8" s="68">
        <v>0</v>
      </c>
      <c r="RD8" s="68">
        <v>0</v>
      </c>
      <c r="RE8" s="68">
        <v>0</v>
      </c>
      <c r="RF8" s="68">
        <v>0</v>
      </c>
      <c r="RG8" s="68">
        <v>0</v>
      </c>
      <c r="RH8" s="68">
        <v>0</v>
      </c>
      <c r="RI8" s="68">
        <v>0</v>
      </c>
      <c r="RJ8" s="68">
        <v>0</v>
      </c>
      <c r="RK8" s="68">
        <v>0</v>
      </c>
      <c r="RL8" s="68">
        <v>0</v>
      </c>
      <c r="RM8" s="68">
        <v>0</v>
      </c>
      <c r="RN8" s="68">
        <v>0</v>
      </c>
      <c r="RO8" s="68">
        <v>0</v>
      </c>
      <c r="RP8" s="68">
        <v>0</v>
      </c>
      <c r="RQ8" s="68">
        <v>0</v>
      </c>
      <c r="RR8" s="68">
        <v>0</v>
      </c>
      <c r="RS8" s="68">
        <v>0</v>
      </c>
      <c r="RT8" s="68">
        <v>0</v>
      </c>
      <c r="RU8" s="68">
        <v>0</v>
      </c>
      <c r="RV8" s="68">
        <v>0</v>
      </c>
      <c r="RW8" s="68">
        <v>0</v>
      </c>
      <c r="RX8" s="68">
        <v>0</v>
      </c>
      <c r="RY8" s="68">
        <v>0</v>
      </c>
      <c r="RZ8" s="68">
        <v>0</v>
      </c>
      <c r="SA8" s="68">
        <v>0</v>
      </c>
      <c r="SB8" s="68">
        <v>0</v>
      </c>
      <c r="SC8" s="68">
        <v>0</v>
      </c>
      <c r="SD8" s="68">
        <v>0</v>
      </c>
      <c r="SE8" s="68">
        <v>0</v>
      </c>
      <c r="SF8" s="68">
        <v>0</v>
      </c>
      <c r="SG8" s="68">
        <v>0</v>
      </c>
      <c r="SH8" s="68">
        <v>0</v>
      </c>
      <c r="SI8" s="68">
        <v>0</v>
      </c>
      <c r="SJ8" s="68">
        <v>0</v>
      </c>
      <c r="SK8" s="68">
        <v>0</v>
      </c>
      <c r="SL8" s="68">
        <v>0</v>
      </c>
      <c r="SM8" s="68">
        <v>0</v>
      </c>
      <c r="SN8" s="68">
        <v>0</v>
      </c>
      <c r="SO8" s="68">
        <v>0</v>
      </c>
      <c r="SP8" s="68">
        <v>0</v>
      </c>
      <c r="SQ8" s="68">
        <v>0</v>
      </c>
      <c r="SR8" s="68">
        <v>0</v>
      </c>
      <c r="SS8" s="68">
        <v>0</v>
      </c>
      <c r="ST8" s="68">
        <v>0</v>
      </c>
      <c r="SU8" s="68">
        <v>0</v>
      </c>
      <c r="SV8" s="68">
        <v>0</v>
      </c>
      <c r="SW8" s="68">
        <v>0</v>
      </c>
      <c r="SX8" s="68">
        <v>0</v>
      </c>
      <c r="SY8" s="68">
        <v>0</v>
      </c>
      <c r="SZ8" s="68">
        <v>0</v>
      </c>
      <c r="TA8" s="68">
        <v>0</v>
      </c>
      <c r="TB8" s="68">
        <v>0</v>
      </c>
      <c r="TC8" s="68">
        <v>0</v>
      </c>
      <c r="TD8" s="68">
        <v>0</v>
      </c>
      <c r="TE8" s="68">
        <v>0</v>
      </c>
      <c r="TF8" s="68">
        <v>0</v>
      </c>
      <c r="TG8" s="68">
        <v>0</v>
      </c>
      <c r="TH8" s="68">
        <v>0</v>
      </c>
      <c r="TI8" s="68">
        <v>0</v>
      </c>
      <c r="TJ8" s="68">
        <v>0</v>
      </c>
      <c r="TK8" s="68">
        <v>0</v>
      </c>
      <c r="TL8" s="68">
        <v>0</v>
      </c>
      <c r="TM8" s="68">
        <v>0</v>
      </c>
      <c r="TN8" s="68">
        <v>0</v>
      </c>
      <c r="TO8" s="68">
        <v>0</v>
      </c>
      <c r="TP8" s="68">
        <v>0</v>
      </c>
      <c r="TQ8" s="68">
        <v>0</v>
      </c>
      <c r="TR8" s="68">
        <v>0</v>
      </c>
      <c r="TS8" s="68">
        <v>0</v>
      </c>
      <c r="TT8" s="68">
        <v>0</v>
      </c>
      <c r="TU8" s="68">
        <v>0</v>
      </c>
      <c r="TV8" s="68">
        <v>0</v>
      </c>
      <c r="TW8" s="68">
        <v>0</v>
      </c>
      <c r="TX8" s="68">
        <v>0</v>
      </c>
      <c r="TY8" s="68">
        <v>0</v>
      </c>
      <c r="TZ8" s="68">
        <v>0</v>
      </c>
      <c r="UA8" s="68">
        <v>0</v>
      </c>
      <c r="UB8" s="68">
        <v>0</v>
      </c>
      <c r="UC8" s="68">
        <v>0</v>
      </c>
      <c r="UD8" s="68">
        <v>0</v>
      </c>
      <c r="UE8" s="68">
        <v>0</v>
      </c>
      <c r="UF8" s="68">
        <v>0</v>
      </c>
      <c r="UG8" s="68">
        <v>0</v>
      </c>
      <c r="UH8" s="68">
        <v>0</v>
      </c>
      <c r="UI8" s="68">
        <v>0</v>
      </c>
      <c r="UJ8" s="68">
        <v>0</v>
      </c>
      <c r="UK8" s="68">
        <v>0</v>
      </c>
      <c r="UL8" s="68">
        <v>0</v>
      </c>
      <c r="UM8" s="68">
        <v>0</v>
      </c>
      <c r="UN8" s="68">
        <v>0</v>
      </c>
      <c r="UO8" s="68">
        <v>0</v>
      </c>
      <c r="UP8" s="68">
        <v>0</v>
      </c>
      <c r="UQ8" s="68">
        <v>0</v>
      </c>
      <c r="UR8" s="68">
        <v>0</v>
      </c>
      <c r="US8" s="68">
        <v>0</v>
      </c>
      <c r="UT8" s="68">
        <v>0</v>
      </c>
      <c r="UU8" s="68">
        <v>0</v>
      </c>
      <c r="UV8" s="68">
        <v>0</v>
      </c>
      <c r="UW8" s="68">
        <v>0</v>
      </c>
      <c r="UX8" s="68">
        <v>0</v>
      </c>
      <c r="UY8" s="68">
        <v>0</v>
      </c>
      <c r="UZ8" s="68">
        <v>0</v>
      </c>
      <c r="VA8" s="68">
        <v>0</v>
      </c>
      <c r="VB8" s="68">
        <v>0</v>
      </c>
      <c r="VC8" s="68">
        <v>0</v>
      </c>
      <c r="VD8" s="68">
        <v>0</v>
      </c>
      <c r="VE8" s="68">
        <v>0</v>
      </c>
      <c r="VF8" s="68">
        <v>0</v>
      </c>
      <c r="VG8" s="68">
        <v>0</v>
      </c>
      <c r="VH8" s="68">
        <v>0</v>
      </c>
      <c r="VI8" s="68">
        <v>0</v>
      </c>
      <c r="VJ8" s="68">
        <v>0</v>
      </c>
      <c r="VK8" s="68">
        <v>0</v>
      </c>
      <c r="VL8" s="68">
        <v>0</v>
      </c>
      <c r="VM8" s="68">
        <v>0</v>
      </c>
      <c r="VN8" s="68">
        <v>0</v>
      </c>
      <c r="VO8" s="68">
        <v>0</v>
      </c>
      <c r="VP8" s="68">
        <v>0</v>
      </c>
      <c r="VQ8" s="68">
        <v>0</v>
      </c>
      <c r="VR8" s="68">
        <v>0</v>
      </c>
      <c r="VS8" s="68">
        <v>0</v>
      </c>
      <c r="VT8" s="68">
        <v>0</v>
      </c>
      <c r="VU8" s="68">
        <v>0</v>
      </c>
      <c r="VV8" s="68">
        <v>0</v>
      </c>
      <c r="VW8" s="68">
        <v>0</v>
      </c>
      <c r="VX8" s="68">
        <v>0</v>
      </c>
      <c r="VY8" s="68">
        <v>0</v>
      </c>
      <c r="VZ8" s="68">
        <v>0</v>
      </c>
      <c r="WA8" s="68">
        <v>0</v>
      </c>
      <c r="WB8" s="68">
        <v>0</v>
      </c>
      <c r="WC8" s="68">
        <v>0</v>
      </c>
      <c r="WD8" s="68">
        <v>0</v>
      </c>
      <c r="WE8" s="68">
        <v>0</v>
      </c>
      <c r="WF8" s="68">
        <v>0</v>
      </c>
      <c r="WG8" s="68">
        <v>0</v>
      </c>
      <c r="WH8" s="68">
        <v>0</v>
      </c>
      <c r="WI8" s="68">
        <v>0</v>
      </c>
      <c r="WJ8" s="68">
        <v>0</v>
      </c>
      <c r="WK8" s="68">
        <v>0</v>
      </c>
      <c r="WL8" s="68">
        <v>0</v>
      </c>
      <c r="WM8" s="68">
        <v>0</v>
      </c>
      <c r="WN8" s="68">
        <v>0</v>
      </c>
      <c r="WO8" s="68">
        <v>0</v>
      </c>
      <c r="WP8" s="68">
        <v>0</v>
      </c>
      <c r="WQ8" s="68">
        <v>0</v>
      </c>
      <c r="WR8" s="68">
        <v>0</v>
      </c>
      <c r="WS8" s="68">
        <v>0</v>
      </c>
      <c r="WT8" s="68">
        <v>0</v>
      </c>
      <c r="WU8" s="68">
        <v>0</v>
      </c>
      <c r="WV8" s="68">
        <v>0</v>
      </c>
      <c r="WW8" s="68">
        <v>0</v>
      </c>
      <c r="WX8" s="68">
        <v>0</v>
      </c>
      <c r="WY8" s="68">
        <v>0</v>
      </c>
      <c r="WZ8" s="68">
        <v>0</v>
      </c>
      <c r="XA8" s="68">
        <v>0</v>
      </c>
      <c r="XB8" s="68">
        <v>0</v>
      </c>
      <c r="XC8" s="68">
        <v>0</v>
      </c>
      <c r="XD8" s="68">
        <v>0</v>
      </c>
      <c r="XE8" s="68">
        <v>0</v>
      </c>
      <c r="XF8" s="68">
        <v>0</v>
      </c>
      <c r="XG8" s="68">
        <v>0</v>
      </c>
      <c r="XH8" s="68">
        <v>0</v>
      </c>
      <c r="XI8" s="68">
        <v>0</v>
      </c>
      <c r="XJ8" s="68">
        <v>0</v>
      </c>
      <c r="XK8" s="68">
        <v>0</v>
      </c>
      <c r="XL8" s="68">
        <v>0</v>
      </c>
      <c r="XM8" s="68">
        <v>0</v>
      </c>
      <c r="XN8" s="68">
        <v>0</v>
      </c>
      <c r="XO8" s="68">
        <v>0</v>
      </c>
      <c r="XP8" s="68">
        <v>0</v>
      </c>
      <c r="XQ8" s="68">
        <v>0</v>
      </c>
      <c r="XR8" s="68">
        <v>0</v>
      </c>
      <c r="XS8" s="68">
        <v>0</v>
      </c>
      <c r="XT8" s="68">
        <v>0</v>
      </c>
      <c r="XU8" s="68">
        <v>0</v>
      </c>
      <c r="XV8" s="68">
        <v>0</v>
      </c>
      <c r="XW8" s="68">
        <v>0</v>
      </c>
      <c r="XX8" s="68">
        <v>0</v>
      </c>
      <c r="XY8" s="68">
        <v>0</v>
      </c>
      <c r="XZ8" s="68">
        <v>0</v>
      </c>
      <c r="YA8" s="68">
        <v>0</v>
      </c>
      <c r="YB8" s="68">
        <v>0</v>
      </c>
      <c r="YC8" s="68">
        <v>0</v>
      </c>
      <c r="YD8" s="68">
        <v>0</v>
      </c>
      <c r="YE8" s="68">
        <v>0</v>
      </c>
      <c r="YF8" s="68">
        <v>0</v>
      </c>
      <c r="YG8" s="68">
        <v>0</v>
      </c>
      <c r="YH8" s="68">
        <v>0</v>
      </c>
      <c r="YI8" s="68" t="e">
        <v>#VALUE!</v>
      </c>
      <c r="YJ8" s="68" t="e">
        <v>#VALUE!</v>
      </c>
      <c r="YK8" s="68">
        <v>0</v>
      </c>
      <c r="YL8" s="68">
        <v>0</v>
      </c>
      <c r="YM8" s="68" t="e">
        <v>#VALUE!</v>
      </c>
      <c r="YN8" s="68" t="e">
        <v>#VALUE!</v>
      </c>
      <c r="YO8" s="68" t="e">
        <v>#VALUE!</v>
      </c>
      <c r="YP8" s="68" t="e">
        <v>#VALUE!</v>
      </c>
      <c r="YQ8" s="68">
        <v>0</v>
      </c>
      <c r="YR8" s="68">
        <v>0</v>
      </c>
      <c r="YS8" s="68">
        <v>0</v>
      </c>
      <c r="YT8" s="68">
        <v>0</v>
      </c>
      <c r="YU8" s="68">
        <v>0</v>
      </c>
      <c r="YV8" s="68">
        <v>0</v>
      </c>
      <c r="YW8" s="68">
        <v>0</v>
      </c>
      <c r="YX8" s="68">
        <v>0</v>
      </c>
      <c r="YY8" s="68">
        <v>0</v>
      </c>
      <c r="YZ8" s="68">
        <v>0</v>
      </c>
      <c r="ZA8" s="68">
        <v>0</v>
      </c>
      <c r="ZB8" s="68">
        <v>0</v>
      </c>
      <c r="ZC8" s="68">
        <v>0</v>
      </c>
      <c r="ZD8" s="68">
        <v>0</v>
      </c>
      <c r="ZE8" s="68" t="e">
        <v>#VALUE!</v>
      </c>
      <c r="ZF8" s="68" t="e">
        <v>#VALUE!</v>
      </c>
      <c r="ZG8" s="68">
        <v>0</v>
      </c>
      <c r="ZH8" s="68" t="e">
        <v>#VALUE!</v>
      </c>
      <c r="ZI8" s="68" t="e">
        <v>#VALUE!</v>
      </c>
      <c r="ZJ8" s="68" t="e">
        <v>#VALUE!</v>
      </c>
      <c r="ZK8" s="68" t="e">
        <v>#VALUE!</v>
      </c>
      <c r="ZL8" s="68" t="e">
        <v>#VALUE!</v>
      </c>
      <c r="ZM8" s="68" t="e">
        <v>#VALUE!</v>
      </c>
      <c r="ZN8" s="68" t="e">
        <v>#VALUE!</v>
      </c>
      <c r="ZO8" s="68">
        <v>0</v>
      </c>
      <c r="ZP8" s="68">
        <v>0</v>
      </c>
      <c r="ZQ8" s="68">
        <v>0</v>
      </c>
      <c r="ZR8" s="68">
        <v>0</v>
      </c>
      <c r="ZS8" s="68">
        <v>0</v>
      </c>
      <c r="ZT8" s="68">
        <v>0</v>
      </c>
      <c r="ZU8" s="68">
        <v>0</v>
      </c>
      <c r="ZV8" s="68">
        <v>0</v>
      </c>
      <c r="ZW8" s="68">
        <v>0</v>
      </c>
      <c r="ZX8" s="68">
        <v>0</v>
      </c>
      <c r="ZY8" s="68">
        <v>0</v>
      </c>
      <c r="ZZ8" s="68">
        <v>0</v>
      </c>
      <c r="AAA8" s="68">
        <v>0</v>
      </c>
      <c r="AAB8" s="68">
        <v>0</v>
      </c>
      <c r="AAC8" s="68" t="e">
        <v>#VALUE!</v>
      </c>
      <c r="AAD8" s="68" t="e">
        <v>#VALUE!</v>
      </c>
      <c r="AAE8" s="68" t="e">
        <v>#VALUE!</v>
      </c>
      <c r="AAF8" s="68" t="e">
        <v>#VALUE!</v>
      </c>
      <c r="AAG8" s="68" t="e">
        <v>#VALUE!</v>
      </c>
      <c r="AAH8" s="68" t="e">
        <v>#VALUE!</v>
      </c>
      <c r="AAI8" s="68" t="e">
        <v>#VALUE!</v>
      </c>
      <c r="AAJ8" s="68" t="e">
        <v>#VALUE!</v>
      </c>
      <c r="AAK8" s="68" t="e">
        <v>#VALUE!</v>
      </c>
      <c r="AAL8" s="68" t="e">
        <v>#VALUE!</v>
      </c>
      <c r="AAM8" s="68">
        <v>0</v>
      </c>
      <c r="AAN8" s="68">
        <v>0</v>
      </c>
      <c r="AAO8" s="68">
        <v>0</v>
      </c>
      <c r="AAP8" s="68">
        <v>0</v>
      </c>
      <c r="AAQ8" s="68">
        <v>0</v>
      </c>
      <c r="AAR8" s="68">
        <v>0</v>
      </c>
      <c r="AAS8" s="68">
        <v>0</v>
      </c>
      <c r="AAT8" s="68">
        <v>0</v>
      </c>
      <c r="AAU8" s="68" t="e">
        <v>#VALUE!</v>
      </c>
      <c r="AAV8" s="68" t="e">
        <v>#VALUE!</v>
      </c>
      <c r="AAW8" s="68" t="e">
        <v>#VALUE!</v>
      </c>
      <c r="AAX8" s="68" t="e">
        <v>#VALUE!</v>
      </c>
      <c r="AAY8" s="68" t="e">
        <v>#VALUE!</v>
      </c>
      <c r="AAZ8" s="68" t="e">
        <v>#VALUE!</v>
      </c>
      <c r="ABA8" s="68" t="e">
        <v>#VALUE!</v>
      </c>
      <c r="ABB8" s="68" t="e">
        <v>#VALUE!</v>
      </c>
      <c r="ABC8" s="68" t="e">
        <v>#VALUE!</v>
      </c>
      <c r="ABD8" s="68" t="e">
        <v>#VALUE!</v>
      </c>
      <c r="ABE8" s="68" t="e">
        <v>#VALUE!</v>
      </c>
      <c r="ABF8" s="68" t="e">
        <v>#VALUE!</v>
      </c>
      <c r="ABG8" s="68" t="e">
        <v>#VALUE!</v>
      </c>
      <c r="ABH8" s="68" t="e">
        <v>#VALUE!</v>
      </c>
      <c r="ABI8" s="68" t="e">
        <v>#VALUE!</v>
      </c>
      <c r="ABJ8" s="68" t="e">
        <v>#VALUE!</v>
      </c>
      <c r="ABK8" s="68" t="e">
        <v>#VALUE!</v>
      </c>
      <c r="ABL8" s="68" t="e">
        <v>#VALUE!</v>
      </c>
      <c r="ABM8" s="68" t="e">
        <v>#VALUE!</v>
      </c>
      <c r="ABN8" s="68" t="e">
        <v>#VALUE!</v>
      </c>
      <c r="ABO8" s="68" t="e">
        <v>#VALUE!</v>
      </c>
      <c r="ABP8" s="68" t="e">
        <v>#VALUE!</v>
      </c>
      <c r="ABQ8" s="68" t="e">
        <v>#VALUE!</v>
      </c>
      <c r="ABR8" s="68" t="e">
        <v>#VALUE!</v>
      </c>
      <c r="ABS8" s="68" t="e">
        <v>#VALUE!</v>
      </c>
      <c r="ABT8" s="68" t="e">
        <v>#VALUE!</v>
      </c>
      <c r="ABU8" s="68" t="e">
        <v>#VALUE!</v>
      </c>
      <c r="ABV8" s="68" t="e">
        <v>#VALUE!</v>
      </c>
      <c r="ABW8" s="68" t="e">
        <v>#VALUE!</v>
      </c>
      <c r="ABX8" s="68" t="e">
        <v>#VALUE!</v>
      </c>
      <c r="ABY8" s="68" t="e">
        <v>#VALUE!</v>
      </c>
      <c r="ABZ8" s="68" t="e">
        <v>#VALUE!</v>
      </c>
      <c r="ACA8" s="68" t="e">
        <v>#VALUE!</v>
      </c>
      <c r="ACB8" s="68" t="e">
        <v>#VALUE!</v>
      </c>
      <c r="ACC8" s="68" t="e">
        <v>#VALUE!</v>
      </c>
      <c r="ACD8" s="68" t="e">
        <v>#VALUE!</v>
      </c>
      <c r="ACE8" s="68" t="e">
        <v>#VALUE!</v>
      </c>
      <c r="ACF8" s="68" t="e">
        <v>#VALUE!</v>
      </c>
      <c r="ACG8" s="68" t="e">
        <v>#VALUE!</v>
      </c>
      <c r="ACH8" s="68" t="e">
        <v>#VALUE!</v>
      </c>
      <c r="ACI8" s="68" t="e">
        <v>#VALUE!</v>
      </c>
      <c r="ACJ8" s="68" t="e">
        <v>#VALUE!</v>
      </c>
      <c r="ACK8" s="68" t="e">
        <v>#VALUE!</v>
      </c>
      <c r="ACL8" s="68" t="e">
        <v>#VALUE!</v>
      </c>
      <c r="ACM8" s="68" t="e">
        <v>#VALUE!</v>
      </c>
      <c r="ACN8" s="68" t="e">
        <v>#VALUE!</v>
      </c>
      <c r="ACO8" s="68" t="e">
        <v>#VALUE!</v>
      </c>
      <c r="ACP8" s="68" t="e">
        <v>#VALUE!</v>
      </c>
    </row>
    <row r="9" spans="1:770" ht="48.75" customHeight="1">
      <c r="A9" s="423"/>
      <c r="B9" s="420"/>
      <c r="C9" s="68"/>
      <c r="D9" s="6"/>
      <c r="E9" s="6"/>
      <c r="F9" s="6"/>
      <c r="G9" s="6"/>
      <c r="H9" s="6"/>
      <c r="I9" s="6"/>
      <c r="J9" s="6"/>
      <c r="K9" s="6"/>
      <c r="L9" s="6"/>
      <c r="M9" s="6"/>
      <c r="N9" s="6"/>
      <c r="O9" s="6"/>
      <c r="P9" s="6"/>
      <c r="Q9" s="6"/>
      <c r="R9" s="6"/>
      <c r="S9" s="6"/>
      <c r="T9" s="6"/>
      <c r="U9" s="6"/>
      <c r="V9" s="6"/>
      <c r="W9" s="6"/>
      <c r="X9" s="6"/>
      <c r="Y9" s="6"/>
      <c r="Z9" s="6"/>
      <c r="AA9" s="68"/>
      <c r="AB9" s="6"/>
      <c r="AC9" s="68"/>
      <c r="AD9" s="6"/>
      <c r="AE9" s="68"/>
      <c r="AF9" s="6"/>
      <c r="AG9" s="68"/>
      <c r="AH9" s="6"/>
      <c r="AI9" s="68"/>
      <c r="AJ9" s="6"/>
      <c r="AK9" s="68"/>
      <c r="AL9" s="6"/>
      <c r="AM9" s="68"/>
      <c r="AN9" s="6"/>
      <c r="AO9" s="68"/>
      <c r="AP9" s="6"/>
      <c r="AQ9" s="68"/>
      <c r="AR9" s="6"/>
      <c r="AS9" s="68"/>
      <c r="AT9" s="6"/>
      <c r="AU9" s="68"/>
      <c r="AV9" s="6"/>
      <c r="AW9" s="68"/>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9"/>
      <c r="ER9" s="6"/>
      <c r="ES9" s="69"/>
      <c r="ET9" s="6"/>
      <c r="EU9" s="69"/>
      <c r="EV9" s="6"/>
      <c r="EW9" s="69"/>
      <c r="EX9" s="6"/>
      <c r="EY9" s="69"/>
      <c r="EZ9" s="6"/>
      <c r="FA9" s="69"/>
      <c r="FB9" s="6"/>
      <c r="FC9" s="69"/>
      <c r="FD9" s="6"/>
      <c r="FE9" s="69"/>
      <c r="FF9" s="6"/>
      <c r="FG9" s="69"/>
      <c r="FH9" s="6"/>
      <c r="FI9" s="69"/>
      <c r="FJ9" s="6"/>
      <c r="FK9" s="69"/>
      <c r="FL9" s="6"/>
      <c r="FM9" s="69"/>
      <c r="FN9" s="6"/>
      <c r="FO9" s="69"/>
      <c r="FP9" s="6"/>
      <c r="FQ9" s="69"/>
      <c r="FR9" s="6"/>
      <c r="FS9" s="69"/>
      <c r="FT9" s="6"/>
      <c r="FU9" s="69"/>
      <c r="FV9" s="6"/>
      <c r="FW9" s="69"/>
      <c r="FX9" s="6"/>
      <c r="FY9" s="69"/>
      <c r="FZ9" s="6"/>
      <c r="GA9" s="69"/>
      <c r="GB9" s="6"/>
      <c r="GC9" s="69"/>
      <c r="GD9" s="6"/>
      <c r="GE9" s="69"/>
      <c r="GF9" s="6"/>
      <c r="GG9" s="69"/>
      <c r="GH9" s="6"/>
      <c r="GI9" s="69"/>
      <c r="GJ9" s="6"/>
      <c r="GK9" s="69"/>
      <c r="GL9" s="6"/>
      <c r="GM9" s="68"/>
      <c r="GN9" s="68"/>
      <c r="GO9" s="68"/>
      <c r="GP9" s="68"/>
      <c r="GQ9" s="68"/>
      <c r="GR9" s="68"/>
      <c r="GS9" s="68"/>
      <c r="GT9" s="68"/>
      <c r="GU9" s="68"/>
      <c r="GV9" s="6"/>
      <c r="GW9" s="68"/>
      <c r="GX9" s="68"/>
      <c r="GY9" s="68"/>
      <c r="GZ9" s="68"/>
      <c r="HA9" s="68"/>
      <c r="HB9" s="68"/>
      <c r="HC9" s="68"/>
      <c r="HD9" s="68"/>
      <c r="HE9" s="68"/>
      <c r="HF9" s="68"/>
      <c r="HG9" s="68"/>
      <c r="HH9" s="68"/>
      <c r="HI9" s="68"/>
      <c r="HJ9" s="68"/>
      <c r="HK9" s="68"/>
      <c r="HL9" s="68"/>
      <c r="HM9" s="68"/>
      <c r="HN9" s="68"/>
      <c r="HO9" s="68"/>
      <c r="HP9" s="68"/>
      <c r="HQ9" s="68"/>
      <c r="HR9" s="68"/>
      <c r="HS9" s="68"/>
      <c r="HT9" s="6"/>
      <c r="HU9" s="68"/>
      <c r="HV9" s="68"/>
      <c r="HW9" s="68"/>
      <c r="HX9" s="68"/>
      <c r="HY9" s="68"/>
      <c r="HZ9" s="68"/>
      <c r="IA9" s="68"/>
      <c r="IB9" s="68"/>
      <c r="IC9" s="68"/>
      <c r="ID9" s="68"/>
      <c r="IE9" s="68"/>
      <c r="IF9" s="68"/>
      <c r="IG9" s="68"/>
      <c r="IH9" s="68"/>
      <c r="II9" s="68"/>
      <c r="IJ9" s="68"/>
      <c r="IK9" s="68"/>
      <c r="IL9" s="68"/>
      <c r="IM9" s="68"/>
      <c r="IN9" s="68"/>
      <c r="IO9" s="68"/>
      <c r="IP9" s="68"/>
      <c r="IQ9" s="68"/>
      <c r="IR9" s="6"/>
      <c r="IS9" s="68"/>
      <c r="IT9" s="68"/>
      <c r="IU9" s="68"/>
      <c r="IV9" s="68"/>
      <c r="IW9" s="68"/>
      <c r="IX9" s="68"/>
      <c r="IY9" s="68"/>
      <c r="IZ9" s="68"/>
      <c r="JA9" s="68"/>
      <c r="JB9" s="68"/>
      <c r="JC9" s="68"/>
      <c r="JD9" s="68"/>
      <c r="JE9" s="68"/>
      <c r="JF9" s="68"/>
      <c r="JG9" s="68"/>
      <c r="JH9" s="68"/>
      <c r="JI9" s="68"/>
      <c r="JJ9" s="68"/>
      <c r="JK9" s="68"/>
      <c r="JL9" s="68"/>
      <c r="JM9" s="68"/>
      <c r="JN9" s="68"/>
      <c r="JO9" s="68"/>
      <c r="JP9" s="6"/>
      <c r="JQ9" s="68"/>
      <c r="JR9" s="68"/>
      <c r="JS9" s="68"/>
      <c r="JT9" s="68"/>
      <c r="JU9" s="68"/>
      <c r="JV9" s="68"/>
      <c r="JW9" s="68"/>
      <c r="JX9" s="68"/>
      <c r="JY9" s="68"/>
      <c r="JZ9" s="68"/>
      <c r="KA9" s="68"/>
      <c r="KB9" s="68"/>
      <c r="KC9" s="68"/>
      <c r="KD9" s="68"/>
      <c r="KE9" s="68"/>
      <c r="KF9" s="68"/>
      <c r="KG9" s="68"/>
      <c r="KH9" s="68"/>
      <c r="KI9" s="68"/>
      <c r="KJ9" s="68"/>
      <c r="KK9" s="68"/>
      <c r="KL9" s="68"/>
      <c r="KM9" s="68"/>
      <c r="KN9" s="6"/>
      <c r="KO9" s="68"/>
      <c r="KP9" s="68"/>
      <c r="KQ9" s="68"/>
      <c r="KR9" s="68"/>
      <c r="KS9" s="68"/>
      <c r="KT9" s="68"/>
      <c r="KU9" s="68"/>
      <c r="KV9" s="68"/>
      <c r="KW9" s="68"/>
      <c r="KX9" s="68"/>
      <c r="KY9" s="68"/>
      <c r="KZ9" s="68"/>
      <c r="LA9" s="68"/>
      <c r="LB9" s="68"/>
      <c r="LC9" s="68"/>
      <c r="LD9" s="68"/>
      <c r="LE9" s="68"/>
      <c r="LF9" s="68"/>
      <c r="LG9" s="68"/>
      <c r="LH9" s="68"/>
      <c r="LI9" s="68"/>
      <c r="LJ9" s="68"/>
      <c r="LK9" s="68"/>
      <c r="LL9" s="6"/>
      <c r="LM9" s="68"/>
      <c r="LN9" s="68"/>
      <c r="LO9" s="68"/>
      <c r="LP9" s="68"/>
      <c r="LQ9" s="68"/>
      <c r="LR9" s="68"/>
      <c r="LS9" s="68"/>
      <c r="LT9" s="68"/>
      <c r="LU9" s="68"/>
      <c r="LV9" s="68"/>
      <c r="LW9" s="68"/>
      <c r="LX9" s="68"/>
      <c r="LY9" s="68"/>
      <c r="LZ9" s="68"/>
      <c r="MA9" s="68"/>
      <c r="MB9" s="68"/>
      <c r="MC9" s="68"/>
      <c r="MD9" s="68"/>
      <c r="ME9" s="68"/>
      <c r="MF9" s="68"/>
      <c r="MG9" s="68"/>
      <c r="MH9" s="68"/>
      <c r="MI9" s="68"/>
      <c r="MJ9" s="6"/>
      <c r="MK9" s="68"/>
      <c r="ML9" s="68"/>
      <c r="MM9" s="68"/>
      <c r="MN9" s="68"/>
      <c r="MO9" s="68"/>
      <c r="MP9" s="68"/>
      <c r="MQ9" s="68"/>
      <c r="MR9" s="68"/>
      <c r="MS9" s="68"/>
      <c r="MT9" s="68"/>
      <c r="MU9" s="68"/>
      <c r="MV9" s="68"/>
      <c r="MW9" s="68"/>
      <c r="MX9" s="68"/>
      <c r="MY9" s="68"/>
      <c r="MZ9" s="68"/>
      <c r="NA9" s="68"/>
      <c r="NB9" s="68"/>
      <c r="NC9" s="68"/>
      <c r="ND9" s="68"/>
      <c r="NE9" s="68"/>
      <c r="NF9" s="68"/>
      <c r="NG9" s="68"/>
      <c r="NH9" s="68"/>
      <c r="NI9" s="68"/>
      <c r="NJ9" s="68"/>
      <c r="NK9" s="68"/>
      <c r="NL9" s="68"/>
      <c r="NM9" s="68"/>
      <c r="NN9" s="68"/>
      <c r="NO9" s="68"/>
      <c r="NP9" s="68"/>
      <c r="NQ9" s="68"/>
      <c r="NR9" s="68"/>
      <c r="NS9" s="68"/>
      <c r="NT9" s="68"/>
      <c r="NU9" s="68"/>
      <c r="NV9" s="68"/>
      <c r="NW9" s="68"/>
      <c r="NX9" s="68"/>
      <c r="NY9" s="68"/>
      <c r="NZ9" s="68"/>
      <c r="OA9" s="68"/>
      <c r="OB9" s="68"/>
      <c r="OC9" s="68"/>
      <c r="OD9" s="68"/>
      <c r="OE9" s="68"/>
      <c r="OF9" s="68"/>
      <c r="OG9" s="68"/>
      <c r="OH9" s="68"/>
      <c r="OI9" s="68"/>
      <c r="OJ9" s="68"/>
      <c r="OK9" s="68"/>
      <c r="OL9" s="68"/>
      <c r="OM9" s="68"/>
      <c r="ON9" s="68"/>
      <c r="OO9" s="68"/>
      <c r="OP9" s="68"/>
      <c r="OQ9" s="68"/>
      <c r="OR9" s="68"/>
      <c r="OS9" s="68"/>
      <c r="OT9" s="68"/>
      <c r="OU9" s="68"/>
      <c r="OV9" s="68"/>
      <c r="OW9" s="68"/>
      <c r="OX9" s="68"/>
      <c r="OY9" s="68"/>
      <c r="OZ9" s="68"/>
      <c r="PA9" s="68"/>
      <c r="PB9" s="68"/>
      <c r="PC9" s="68"/>
      <c r="PD9" s="68"/>
      <c r="PE9" s="68"/>
      <c r="PF9" s="68"/>
      <c r="PG9" s="68"/>
      <c r="PH9" s="68"/>
      <c r="PI9" s="68"/>
      <c r="PJ9" s="68"/>
      <c r="PK9" s="68"/>
      <c r="PL9" s="68"/>
      <c r="PM9" s="68"/>
      <c r="PN9" s="68"/>
      <c r="PO9" s="68"/>
      <c r="PP9" s="68"/>
      <c r="PQ9" s="68"/>
      <c r="PR9" s="68"/>
      <c r="PS9" s="68"/>
      <c r="PT9" s="68"/>
      <c r="PU9" s="68"/>
      <c r="PV9" s="68"/>
      <c r="PW9" s="68"/>
      <c r="PX9" s="68"/>
      <c r="PY9" s="68"/>
      <c r="PZ9" s="68"/>
      <c r="QA9" s="68"/>
      <c r="QB9" s="68"/>
      <c r="QC9" s="68"/>
      <c r="QD9" s="68"/>
      <c r="QE9" s="68"/>
      <c r="QF9" s="68"/>
      <c r="QG9" s="68"/>
      <c r="QH9" s="68"/>
      <c r="QI9" s="68"/>
      <c r="QJ9" s="68"/>
      <c r="QK9" s="68"/>
      <c r="QL9" s="68"/>
      <c r="QM9" s="68"/>
      <c r="QN9" s="68"/>
      <c r="QO9" s="68"/>
      <c r="QP9" s="68"/>
      <c r="QQ9" s="68"/>
      <c r="QR9" s="68"/>
      <c r="QS9" s="68"/>
      <c r="QT9" s="68"/>
      <c r="QU9" s="68"/>
      <c r="QV9" s="68"/>
      <c r="QW9" s="68"/>
      <c r="QX9" s="68"/>
      <c r="QY9" s="68"/>
      <c r="QZ9" s="68"/>
      <c r="RA9" s="68"/>
      <c r="RB9" s="68"/>
      <c r="RC9" s="68"/>
      <c r="RD9" s="68"/>
      <c r="RE9" s="68"/>
      <c r="RF9" s="68"/>
      <c r="RG9" s="68"/>
      <c r="RH9" s="68"/>
      <c r="RI9" s="68"/>
      <c r="RJ9" s="68"/>
      <c r="RK9" s="68"/>
      <c r="RL9" s="68"/>
      <c r="RM9" s="68"/>
      <c r="RN9" s="68"/>
      <c r="RO9" s="68"/>
      <c r="RP9" s="68"/>
      <c r="RQ9" s="68"/>
      <c r="RR9" s="68"/>
      <c r="RS9" s="68"/>
      <c r="RT9" s="68"/>
      <c r="RU9" s="68"/>
      <c r="RV9" s="68"/>
      <c r="RW9" s="68"/>
      <c r="RX9" s="68"/>
      <c r="RY9" s="68"/>
      <c r="RZ9" s="68"/>
      <c r="SA9" s="68"/>
      <c r="SB9" s="68"/>
      <c r="SC9" s="68"/>
      <c r="SD9" s="68"/>
      <c r="SE9" s="68"/>
      <c r="SF9" s="68"/>
      <c r="SG9" s="68"/>
      <c r="SH9" s="68"/>
      <c r="SI9" s="68"/>
      <c r="SJ9" s="68"/>
      <c r="SK9" s="68"/>
      <c r="SL9" s="68"/>
      <c r="SM9" s="68"/>
      <c r="SN9" s="68"/>
      <c r="SO9" s="68"/>
      <c r="SP9" s="68"/>
      <c r="SQ9" s="68"/>
      <c r="SR9" s="68"/>
      <c r="SS9" s="68"/>
      <c r="ST9" s="68"/>
      <c r="SU9" s="68"/>
      <c r="SV9" s="68"/>
      <c r="SW9" s="68"/>
      <c r="SX9" s="68"/>
      <c r="SY9" s="68"/>
      <c r="SZ9" s="68"/>
      <c r="TA9" s="68"/>
      <c r="TB9" s="68"/>
      <c r="TC9" s="68"/>
      <c r="TD9" s="68"/>
      <c r="TE9" s="68"/>
      <c r="TF9" s="68"/>
      <c r="TG9" s="68"/>
      <c r="TH9" s="68"/>
      <c r="TI9" s="68"/>
      <c r="TJ9" s="68"/>
      <c r="TK9" s="68"/>
      <c r="TL9" s="68"/>
      <c r="TM9" s="68"/>
      <c r="TN9" s="68"/>
      <c r="TO9" s="68"/>
      <c r="TP9" s="68"/>
      <c r="TQ9" s="68"/>
      <c r="TR9" s="68"/>
      <c r="TS9" s="68"/>
      <c r="TT9" s="68"/>
      <c r="TU9" s="68"/>
      <c r="TV9" s="68"/>
      <c r="TW9" s="68"/>
      <c r="TX9" s="68"/>
      <c r="TY9" s="68"/>
      <c r="TZ9" s="68"/>
      <c r="UA9" s="68"/>
      <c r="UB9" s="68"/>
      <c r="UC9" s="68"/>
      <c r="UD9" s="68"/>
      <c r="UE9" s="68"/>
      <c r="UF9" s="68"/>
      <c r="UG9" s="68"/>
      <c r="UH9" s="68"/>
      <c r="UI9" s="68"/>
      <c r="UJ9" s="68"/>
      <c r="UK9" s="68"/>
      <c r="UL9" s="68"/>
      <c r="UM9" s="68"/>
      <c r="UN9" s="68"/>
      <c r="UO9" s="68"/>
      <c r="UP9" s="68"/>
      <c r="UQ9" s="68"/>
      <c r="UR9" s="68"/>
      <c r="US9" s="68"/>
      <c r="UT9" s="68"/>
      <c r="UU9" s="68"/>
      <c r="UV9" s="68"/>
      <c r="UW9" s="68"/>
      <c r="UX9" s="68"/>
      <c r="UY9" s="68"/>
      <c r="UZ9" s="68"/>
      <c r="VA9" s="68"/>
      <c r="VB9" s="68"/>
      <c r="VC9" s="68"/>
      <c r="VD9" s="68"/>
      <c r="VE9" s="68"/>
      <c r="VF9" s="68"/>
      <c r="VG9" s="68"/>
      <c r="VH9" s="68"/>
      <c r="VI9" s="68"/>
      <c r="VJ9" s="68"/>
      <c r="VK9" s="68"/>
      <c r="VL9" s="68"/>
      <c r="VM9" s="68"/>
      <c r="VN9" s="68"/>
      <c r="VO9" s="68"/>
      <c r="VP9" s="68"/>
      <c r="VQ9" s="68"/>
      <c r="VR9" s="68"/>
      <c r="VS9" s="68"/>
      <c r="VT9" s="68"/>
      <c r="VU9" s="68"/>
      <c r="VV9" s="68"/>
      <c r="VW9" s="68"/>
      <c r="VX9" s="68"/>
      <c r="VY9" s="68"/>
      <c r="VZ9" s="68"/>
      <c r="WA9" s="68"/>
      <c r="WB9" s="68"/>
      <c r="WC9" s="68"/>
      <c r="WD9" s="68"/>
      <c r="WE9" s="68"/>
      <c r="WF9" s="68"/>
      <c r="WG9" s="68"/>
      <c r="WH9" s="68"/>
      <c r="WI9" s="68"/>
      <c r="WJ9" s="68"/>
      <c r="WK9" s="68"/>
      <c r="WL9" s="68"/>
      <c r="WM9" s="68"/>
      <c r="WN9" s="68"/>
      <c r="WO9" s="68"/>
      <c r="WP9" s="68"/>
      <c r="WQ9" s="68"/>
      <c r="WR9" s="68"/>
      <c r="WS9" s="68"/>
      <c r="WT9" s="68"/>
      <c r="WU9" s="68"/>
      <c r="WV9" s="68"/>
      <c r="WW9" s="68"/>
      <c r="WX9" s="68"/>
      <c r="WY9" s="68"/>
      <c r="WZ9" s="68"/>
      <c r="XA9" s="68"/>
      <c r="XB9" s="68"/>
      <c r="XC9" s="68"/>
      <c r="XD9" s="68"/>
      <c r="XE9" s="68"/>
      <c r="XF9" s="68"/>
      <c r="XG9" s="68"/>
      <c r="XH9" s="68"/>
      <c r="XI9" s="68"/>
      <c r="XJ9" s="68"/>
      <c r="XK9" s="68"/>
      <c r="XL9" s="68"/>
      <c r="XM9" s="68"/>
      <c r="XN9" s="68"/>
      <c r="XO9" s="68"/>
      <c r="XP9" s="68"/>
      <c r="XQ9" s="68"/>
      <c r="XR9" s="68"/>
      <c r="XS9" s="68"/>
      <c r="XT9" s="68"/>
      <c r="XU9" s="68"/>
      <c r="XV9" s="68"/>
      <c r="XW9" s="68"/>
      <c r="XX9" s="68"/>
      <c r="XY9" s="68"/>
      <c r="XZ9" s="68"/>
      <c r="YA9" s="68"/>
      <c r="YB9" s="68"/>
      <c r="YC9" s="68"/>
      <c r="YD9" s="68"/>
      <c r="YE9" s="68"/>
      <c r="YF9" s="68"/>
      <c r="YG9" s="68"/>
      <c r="YH9" s="68"/>
      <c r="YI9" s="68"/>
      <c r="YJ9" s="68"/>
      <c r="YK9" s="68"/>
      <c r="YL9" s="68"/>
      <c r="YM9" s="68"/>
      <c r="YN9" s="68"/>
      <c r="YO9" s="68"/>
      <c r="YP9" s="68"/>
      <c r="YQ9" s="68"/>
      <c r="YR9" s="68"/>
      <c r="YS9" s="68"/>
      <c r="YT9" s="68"/>
      <c r="YU9" s="68"/>
      <c r="YV9" s="68"/>
      <c r="YW9" s="68"/>
      <c r="YX9" s="68"/>
      <c r="YY9" s="68"/>
      <c r="YZ9" s="68"/>
      <c r="ZA9" s="68"/>
      <c r="ZB9" s="68"/>
      <c r="ZC9" s="68"/>
      <c r="ZD9" s="68"/>
      <c r="ZE9" s="68"/>
      <c r="ZF9" s="68"/>
      <c r="ZG9" s="68"/>
      <c r="ZH9" s="68"/>
      <c r="ZI9" s="68"/>
      <c r="ZJ9" s="68"/>
      <c r="ZK9" s="68"/>
      <c r="ZL9" s="68"/>
      <c r="ZM9" s="68"/>
      <c r="ZN9" s="68"/>
      <c r="ZO9" s="68"/>
      <c r="ZP9" s="68"/>
      <c r="ZQ9" s="68"/>
      <c r="ZR9" s="68"/>
      <c r="ZS9" s="68"/>
      <c r="ZT9" s="68"/>
      <c r="ZU9" s="68"/>
      <c r="ZV9" s="68"/>
      <c r="ZW9" s="68"/>
      <c r="ZX9" s="68"/>
      <c r="ZY9" s="68"/>
      <c r="ZZ9" s="68"/>
      <c r="AAA9" s="68"/>
      <c r="AAB9" s="68"/>
      <c r="AAC9" s="68"/>
      <c r="AAD9" s="68"/>
      <c r="AAE9" s="68"/>
      <c r="AAF9" s="68"/>
      <c r="AAG9" s="68"/>
      <c r="AAH9" s="68"/>
      <c r="AAI9" s="68"/>
      <c r="AAJ9" s="68"/>
      <c r="AAK9" s="68"/>
      <c r="AAL9" s="68"/>
      <c r="AAM9" s="68"/>
      <c r="AAN9" s="68"/>
      <c r="AAO9" s="68"/>
      <c r="AAP9" s="68"/>
      <c r="AAQ9" s="68"/>
      <c r="AAR9" s="68"/>
      <c r="AAS9" s="68"/>
      <c r="AAT9" s="68"/>
      <c r="AAU9" s="68"/>
      <c r="AAV9" s="68"/>
      <c r="AAW9" s="68"/>
      <c r="AAX9" s="68"/>
      <c r="AAY9" s="68"/>
      <c r="AAZ9" s="68"/>
      <c r="ABA9" s="68"/>
      <c r="ABB9" s="68"/>
      <c r="ABC9" s="68"/>
      <c r="ABD9" s="68"/>
      <c r="ABE9" s="68"/>
      <c r="ABF9" s="68"/>
      <c r="ABG9" s="68"/>
      <c r="ABH9" s="68"/>
      <c r="ABI9" s="68"/>
      <c r="ABJ9" s="68"/>
      <c r="ABK9" s="68"/>
      <c r="ABL9" s="68"/>
      <c r="ABM9" s="68"/>
      <c r="ABN9" s="68"/>
      <c r="ABO9" s="68"/>
      <c r="ABP9" s="68"/>
      <c r="ABQ9" s="68"/>
      <c r="ABR9" s="68"/>
      <c r="ABS9" s="68"/>
      <c r="ABT9" s="68"/>
      <c r="ABU9" s="68"/>
      <c r="ABV9" s="68"/>
      <c r="ABW9" s="68"/>
      <c r="ABX9" s="68"/>
      <c r="ABY9" s="68"/>
      <c r="ABZ9" s="68"/>
      <c r="ACA9" s="68"/>
      <c r="ACB9" s="68"/>
      <c r="ACC9" s="68"/>
      <c r="ACD9" s="68"/>
      <c r="ACE9" s="68"/>
      <c r="ACF9" s="68"/>
      <c r="ACG9" s="68"/>
      <c r="ACH9" s="68"/>
      <c r="ACI9" s="68"/>
      <c r="ACJ9" s="68"/>
      <c r="ACK9" s="68"/>
      <c r="ACL9" s="68"/>
      <c r="ACM9" s="68"/>
      <c r="ACN9" s="68"/>
      <c r="ACO9" s="68"/>
      <c r="ACP9" s="68"/>
    </row>
    <row r="10" spans="1:770" ht="48.75" customHeight="1">
      <c r="A10" s="423"/>
      <c r="B10" s="420"/>
      <c r="C10" s="68"/>
      <c r="D10" s="6"/>
      <c r="E10" s="68"/>
      <c r="F10" s="6"/>
      <c r="G10" s="6"/>
      <c r="H10" s="6"/>
      <c r="I10" s="6"/>
      <c r="J10" s="6"/>
      <c r="K10" s="6"/>
      <c r="L10" s="6"/>
      <c r="M10" s="6"/>
      <c r="N10" s="6"/>
      <c r="O10" s="6"/>
      <c r="P10" s="6"/>
      <c r="Q10" s="6"/>
      <c r="R10" s="6"/>
      <c r="S10" s="6"/>
      <c r="T10" s="6"/>
      <c r="U10" s="6"/>
      <c r="V10" s="6"/>
      <c r="W10" s="6"/>
      <c r="X10" s="6"/>
      <c r="Y10" s="6"/>
      <c r="Z10" s="6"/>
      <c r="AA10" s="68"/>
      <c r="AB10" s="6"/>
      <c r="AC10" s="68"/>
      <c r="AD10" s="6"/>
      <c r="AE10" s="68"/>
      <c r="AF10" s="6"/>
      <c r="AG10" s="68"/>
      <c r="AH10" s="6"/>
      <c r="AI10" s="68"/>
      <c r="AJ10" s="6"/>
      <c r="AK10" s="68"/>
      <c r="AL10" s="6"/>
      <c r="AM10" s="68"/>
      <c r="AN10" s="6"/>
      <c r="AO10" s="68"/>
      <c r="AP10" s="6"/>
      <c r="AQ10" s="68"/>
      <c r="AR10" s="6"/>
      <c r="AS10" s="68"/>
      <c r="AT10" s="6"/>
      <c r="AU10" s="68"/>
      <c r="AV10" s="6"/>
      <c r="AW10" s="68"/>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8"/>
      <c r="GN10" s="68"/>
      <c r="GO10" s="68"/>
      <c r="GP10" s="68"/>
      <c r="GQ10" s="68"/>
      <c r="GR10" s="68"/>
      <c r="GS10" s="68"/>
      <c r="GT10" s="68"/>
      <c r="GU10" s="68"/>
      <c r="GV10" s="6"/>
      <c r="GW10" s="68"/>
      <c r="GX10" s="68"/>
      <c r="GY10" s="68"/>
      <c r="GZ10" s="68"/>
      <c r="HA10" s="68"/>
      <c r="HB10" s="68"/>
      <c r="HC10" s="68"/>
      <c r="HD10" s="68"/>
      <c r="HE10" s="68"/>
      <c r="HF10" s="68"/>
      <c r="HG10" s="68"/>
      <c r="HH10" s="68"/>
      <c r="HI10" s="68"/>
      <c r="HJ10" s="68"/>
      <c r="HK10" s="68"/>
      <c r="HL10" s="68"/>
      <c r="HM10" s="68"/>
      <c r="HN10" s="68"/>
      <c r="HO10" s="68"/>
      <c r="HP10" s="68"/>
      <c r="HQ10" s="68"/>
      <c r="HR10" s="68"/>
      <c r="HS10" s="68"/>
      <c r="HT10" s="6"/>
      <c r="HU10" s="68"/>
      <c r="HV10" s="68"/>
      <c r="HW10" s="68"/>
      <c r="HX10" s="68"/>
      <c r="HY10" s="68"/>
      <c r="HZ10" s="68"/>
      <c r="IA10" s="68"/>
      <c r="IB10" s="68"/>
      <c r="IC10" s="68"/>
      <c r="ID10" s="68"/>
      <c r="IE10" s="68"/>
      <c r="IF10" s="68"/>
      <c r="IG10" s="68"/>
      <c r="IH10" s="68"/>
      <c r="II10" s="68"/>
      <c r="IJ10" s="68"/>
      <c r="IK10" s="68"/>
      <c r="IL10" s="68"/>
      <c r="IM10" s="68"/>
      <c r="IN10" s="68"/>
      <c r="IO10" s="68"/>
      <c r="IP10" s="68"/>
      <c r="IQ10" s="68"/>
      <c r="IR10" s="6"/>
      <c r="IS10" s="68"/>
      <c r="IT10" s="68"/>
      <c r="IU10" s="68"/>
      <c r="IV10" s="68"/>
      <c r="IW10" s="68"/>
      <c r="IX10" s="68"/>
      <c r="IY10" s="68"/>
      <c r="IZ10" s="68"/>
      <c r="JA10" s="68"/>
      <c r="JB10" s="68"/>
      <c r="JC10" s="68"/>
      <c r="JD10" s="68"/>
      <c r="JE10" s="68"/>
      <c r="JF10" s="68"/>
      <c r="JG10" s="68"/>
      <c r="JH10" s="68"/>
      <c r="JI10" s="68"/>
      <c r="JJ10" s="68"/>
      <c r="JK10" s="68"/>
      <c r="JL10" s="68"/>
      <c r="JM10" s="68"/>
      <c r="JN10" s="68"/>
      <c r="JO10" s="68"/>
      <c r="JP10" s="6"/>
      <c r="JQ10" s="68"/>
      <c r="JR10" s="68"/>
      <c r="JS10" s="68"/>
      <c r="JT10" s="68"/>
      <c r="JU10" s="68"/>
      <c r="JV10" s="68"/>
      <c r="JW10" s="68"/>
      <c r="JX10" s="68"/>
      <c r="JY10" s="68"/>
      <c r="JZ10" s="68"/>
      <c r="KA10" s="68"/>
      <c r="KB10" s="68"/>
      <c r="KC10" s="68"/>
      <c r="KD10" s="68"/>
      <c r="KE10" s="68"/>
      <c r="KF10" s="68"/>
      <c r="KG10" s="68"/>
      <c r="KH10" s="68"/>
      <c r="KI10" s="68"/>
      <c r="KJ10" s="68"/>
      <c r="KK10" s="68"/>
      <c r="KL10" s="68"/>
      <c r="KM10" s="68"/>
      <c r="KN10" s="6"/>
      <c r="KO10" s="68"/>
      <c r="KP10" s="68"/>
      <c r="KQ10" s="68"/>
      <c r="KR10" s="68"/>
      <c r="KS10" s="68"/>
      <c r="KT10" s="68"/>
      <c r="KU10" s="68"/>
      <c r="KV10" s="68"/>
      <c r="KW10" s="68"/>
      <c r="KX10" s="68"/>
      <c r="KY10" s="68"/>
      <c r="KZ10" s="68"/>
      <c r="LA10" s="68"/>
      <c r="LB10" s="68"/>
      <c r="LC10" s="68"/>
      <c r="LD10" s="68"/>
      <c r="LE10" s="68"/>
      <c r="LF10" s="68"/>
      <c r="LG10" s="68"/>
      <c r="LH10" s="68"/>
      <c r="LI10" s="68"/>
      <c r="LJ10" s="68"/>
      <c r="LK10" s="68"/>
      <c r="LL10" s="6"/>
      <c r="LM10" s="68"/>
      <c r="LN10" s="68"/>
      <c r="LO10" s="68"/>
      <c r="LP10" s="68"/>
      <c r="LQ10" s="68"/>
      <c r="LR10" s="68"/>
      <c r="LS10" s="68"/>
      <c r="LT10" s="68"/>
      <c r="LU10" s="68"/>
      <c r="LV10" s="68"/>
      <c r="LW10" s="68"/>
      <c r="LX10" s="68"/>
      <c r="LY10" s="68"/>
      <c r="LZ10" s="68"/>
      <c r="MA10" s="68"/>
      <c r="MB10" s="68"/>
      <c r="MC10" s="68"/>
      <c r="MD10" s="68"/>
      <c r="ME10" s="68"/>
      <c r="MF10" s="68"/>
      <c r="MG10" s="68"/>
      <c r="MH10" s="68"/>
      <c r="MI10" s="68"/>
      <c r="MJ10" s="6"/>
      <c r="MK10" s="68"/>
      <c r="ML10" s="68"/>
      <c r="MM10" s="68"/>
      <c r="MN10" s="68"/>
      <c r="MO10" s="68"/>
      <c r="MP10" s="68"/>
      <c r="MQ10" s="68"/>
      <c r="MR10" s="68"/>
      <c r="MS10" s="68"/>
      <c r="MT10" s="68"/>
      <c r="MU10" s="68"/>
      <c r="MV10" s="68"/>
      <c r="MW10" s="68"/>
      <c r="MX10" s="68"/>
      <c r="MY10" s="68"/>
      <c r="MZ10" s="68"/>
      <c r="NA10" s="68"/>
      <c r="NB10" s="68"/>
      <c r="NC10" s="68"/>
      <c r="ND10" s="68"/>
      <c r="NE10" s="68"/>
      <c r="NF10" s="68"/>
      <c r="NG10" s="68"/>
      <c r="NH10" s="68"/>
      <c r="NI10" s="68"/>
      <c r="NJ10" s="68"/>
      <c r="NK10" s="68"/>
      <c r="NL10" s="68"/>
      <c r="NM10" s="68"/>
      <c r="NN10" s="68"/>
      <c r="NO10" s="68"/>
      <c r="NP10" s="68"/>
      <c r="NQ10" s="68"/>
      <c r="NR10" s="68"/>
      <c r="NS10" s="68"/>
      <c r="NT10" s="68"/>
      <c r="NU10" s="68"/>
      <c r="NV10" s="68"/>
      <c r="NW10" s="68"/>
      <c r="NX10" s="68"/>
      <c r="NY10" s="68"/>
      <c r="NZ10" s="68"/>
      <c r="OA10" s="68"/>
      <c r="OB10" s="68"/>
      <c r="OC10" s="68"/>
      <c r="OD10" s="68"/>
      <c r="OE10" s="68"/>
      <c r="OF10" s="68"/>
      <c r="OG10" s="68"/>
      <c r="OH10" s="68"/>
      <c r="OI10" s="68"/>
      <c r="OJ10" s="68"/>
      <c r="OK10" s="68"/>
      <c r="OL10" s="68"/>
      <c r="OM10" s="68"/>
      <c r="ON10" s="68"/>
      <c r="OO10" s="68"/>
      <c r="OP10" s="68"/>
      <c r="OQ10" s="68"/>
      <c r="OR10" s="68"/>
      <c r="OS10" s="68"/>
      <c r="OT10" s="68"/>
      <c r="OU10" s="68"/>
      <c r="OV10" s="68"/>
      <c r="OW10" s="68"/>
      <c r="OX10" s="68"/>
      <c r="OY10" s="68"/>
      <c r="OZ10" s="68"/>
      <c r="PA10" s="68"/>
      <c r="PB10" s="68"/>
      <c r="PC10" s="68"/>
      <c r="PD10" s="68"/>
      <c r="PE10" s="68"/>
      <c r="PF10" s="68"/>
      <c r="PG10" s="68"/>
      <c r="PH10" s="68"/>
      <c r="PI10" s="68"/>
      <c r="PJ10" s="68"/>
      <c r="PK10" s="68"/>
      <c r="PL10" s="68"/>
      <c r="PM10" s="68"/>
      <c r="PN10" s="68"/>
      <c r="PO10" s="68"/>
      <c r="PP10" s="68"/>
      <c r="PQ10" s="68"/>
      <c r="PR10" s="68"/>
      <c r="PS10" s="68"/>
      <c r="PT10" s="68"/>
      <c r="PU10" s="68"/>
      <c r="PV10" s="68"/>
      <c r="PW10" s="68"/>
      <c r="PX10" s="68"/>
      <c r="PY10" s="68"/>
      <c r="PZ10" s="68"/>
      <c r="QA10" s="68"/>
      <c r="QB10" s="68"/>
      <c r="QC10" s="68"/>
      <c r="QD10" s="68"/>
      <c r="QE10" s="68"/>
      <c r="QF10" s="68"/>
      <c r="QG10" s="68"/>
      <c r="QH10" s="68"/>
      <c r="QI10" s="68"/>
      <c r="QJ10" s="68"/>
      <c r="QK10" s="68"/>
      <c r="QL10" s="68"/>
      <c r="QM10" s="68"/>
      <c r="QN10" s="68"/>
      <c r="QO10" s="68"/>
      <c r="QP10" s="68"/>
      <c r="QQ10" s="68"/>
      <c r="QR10" s="68"/>
      <c r="QS10" s="68"/>
      <c r="QT10" s="68"/>
      <c r="QU10" s="68"/>
      <c r="QV10" s="68"/>
      <c r="QW10" s="68"/>
      <c r="QX10" s="68"/>
      <c r="QY10" s="68"/>
      <c r="QZ10" s="68"/>
      <c r="RA10" s="68"/>
      <c r="RB10" s="68"/>
      <c r="RC10" s="68"/>
      <c r="RD10" s="68"/>
      <c r="RE10" s="68"/>
      <c r="RF10" s="68"/>
      <c r="RG10" s="68"/>
      <c r="RH10" s="68"/>
      <c r="RI10" s="68"/>
      <c r="RJ10" s="68"/>
      <c r="RK10" s="68"/>
      <c r="RL10" s="68"/>
      <c r="RM10" s="68"/>
      <c r="RN10" s="68"/>
      <c r="RO10" s="68"/>
      <c r="RP10" s="68"/>
      <c r="RQ10" s="68"/>
      <c r="RR10" s="68"/>
      <c r="RS10" s="68"/>
      <c r="RT10" s="68"/>
      <c r="RU10" s="68"/>
      <c r="RV10" s="68"/>
      <c r="RW10" s="68"/>
      <c r="RX10" s="68"/>
      <c r="RY10" s="68"/>
      <c r="RZ10" s="68"/>
      <c r="SA10" s="68"/>
      <c r="SB10" s="68"/>
      <c r="SC10" s="68"/>
      <c r="SD10" s="68"/>
      <c r="SE10" s="68"/>
      <c r="SF10" s="68"/>
      <c r="SG10" s="68"/>
      <c r="SH10" s="68"/>
      <c r="SI10" s="68"/>
      <c r="SJ10" s="68"/>
      <c r="SK10" s="68"/>
      <c r="SL10" s="68"/>
      <c r="SM10" s="68"/>
      <c r="SN10" s="68"/>
      <c r="SO10" s="68"/>
      <c r="SP10" s="68"/>
      <c r="SQ10" s="68"/>
      <c r="SR10" s="68"/>
      <c r="SS10" s="68"/>
      <c r="ST10" s="68"/>
      <c r="SU10" s="68"/>
      <c r="SV10" s="68"/>
      <c r="SW10" s="68"/>
      <c r="SX10" s="68"/>
      <c r="SY10" s="68"/>
      <c r="SZ10" s="68"/>
      <c r="TA10" s="68"/>
      <c r="TB10" s="68"/>
      <c r="TC10" s="68"/>
      <c r="TD10" s="68"/>
      <c r="TE10" s="68"/>
      <c r="TF10" s="68"/>
      <c r="TG10" s="68"/>
      <c r="TH10" s="68"/>
      <c r="TI10" s="68"/>
      <c r="TJ10" s="68"/>
      <c r="TK10" s="68"/>
      <c r="TL10" s="68"/>
      <c r="TM10" s="68"/>
      <c r="TN10" s="68"/>
      <c r="TO10" s="68"/>
      <c r="TP10" s="68"/>
      <c r="TQ10" s="68"/>
      <c r="TR10" s="68"/>
      <c r="TS10" s="68"/>
      <c r="TT10" s="68"/>
      <c r="TU10" s="68"/>
      <c r="TV10" s="68"/>
      <c r="TW10" s="68"/>
      <c r="TX10" s="68"/>
      <c r="TY10" s="68"/>
      <c r="TZ10" s="68"/>
      <c r="UA10" s="68"/>
      <c r="UB10" s="68"/>
      <c r="UC10" s="68"/>
      <c r="UD10" s="68"/>
      <c r="UE10" s="68"/>
      <c r="UF10" s="68"/>
      <c r="UG10" s="68"/>
      <c r="UH10" s="68"/>
      <c r="UI10" s="68"/>
      <c r="UJ10" s="68"/>
      <c r="UK10" s="68"/>
      <c r="UL10" s="68"/>
      <c r="UM10" s="68"/>
      <c r="UN10" s="68"/>
      <c r="UO10" s="68"/>
      <c r="UP10" s="68"/>
      <c r="UQ10" s="68"/>
      <c r="UR10" s="68"/>
      <c r="US10" s="68"/>
      <c r="UT10" s="68"/>
      <c r="UU10" s="68"/>
      <c r="UV10" s="68"/>
      <c r="UW10" s="68"/>
      <c r="UX10" s="68"/>
      <c r="UY10" s="68"/>
      <c r="UZ10" s="68"/>
      <c r="VA10" s="68"/>
      <c r="VB10" s="68"/>
      <c r="VC10" s="68"/>
      <c r="VD10" s="68"/>
      <c r="VE10" s="68"/>
      <c r="VF10" s="68"/>
      <c r="VG10" s="68"/>
      <c r="VH10" s="68"/>
      <c r="VI10" s="68"/>
      <c r="VJ10" s="68"/>
      <c r="VK10" s="68"/>
      <c r="VL10" s="68"/>
      <c r="VM10" s="68"/>
      <c r="VN10" s="68"/>
      <c r="VO10" s="68"/>
      <c r="VP10" s="68"/>
      <c r="VQ10" s="68"/>
      <c r="VR10" s="68"/>
      <c r="VS10" s="68"/>
      <c r="VT10" s="68"/>
      <c r="VU10" s="68"/>
      <c r="VV10" s="68"/>
      <c r="VW10" s="68"/>
      <c r="VX10" s="68"/>
      <c r="VY10" s="68"/>
      <c r="VZ10" s="68"/>
      <c r="WA10" s="68"/>
      <c r="WB10" s="68"/>
      <c r="WC10" s="68"/>
      <c r="WD10" s="68"/>
      <c r="WE10" s="68"/>
      <c r="WF10" s="68"/>
      <c r="WG10" s="68"/>
      <c r="WH10" s="68"/>
      <c r="WI10" s="68"/>
      <c r="WJ10" s="68"/>
      <c r="WK10" s="68"/>
      <c r="WL10" s="68"/>
      <c r="WM10" s="68"/>
      <c r="WN10" s="68"/>
      <c r="WO10" s="68"/>
      <c r="WP10" s="68"/>
      <c r="WQ10" s="68"/>
      <c r="WR10" s="68"/>
      <c r="WS10" s="68"/>
      <c r="WT10" s="68"/>
      <c r="WU10" s="68"/>
      <c r="WV10" s="68"/>
      <c r="WW10" s="68"/>
      <c r="WX10" s="68"/>
      <c r="WY10" s="68"/>
      <c r="WZ10" s="68"/>
      <c r="XA10" s="68"/>
      <c r="XB10" s="68"/>
      <c r="XC10" s="68"/>
      <c r="XD10" s="68"/>
      <c r="XE10" s="68"/>
      <c r="XF10" s="68"/>
      <c r="XG10" s="68"/>
      <c r="XH10" s="68"/>
      <c r="XI10" s="68"/>
      <c r="XJ10" s="68"/>
      <c r="XK10" s="68"/>
      <c r="XL10" s="68"/>
      <c r="XM10" s="68"/>
      <c r="XN10" s="68"/>
      <c r="XO10" s="68"/>
      <c r="XP10" s="68"/>
      <c r="XQ10" s="68"/>
      <c r="XR10" s="68"/>
      <c r="XS10" s="68"/>
      <c r="XT10" s="68"/>
      <c r="XU10" s="68"/>
      <c r="XV10" s="68"/>
      <c r="XW10" s="68"/>
      <c r="XX10" s="68"/>
      <c r="XY10" s="68"/>
      <c r="XZ10" s="68"/>
      <c r="YA10" s="68"/>
      <c r="YB10" s="68"/>
      <c r="YC10" s="68"/>
      <c r="YD10" s="68"/>
      <c r="YE10" s="68"/>
      <c r="YF10" s="68"/>
      <c r="YG10" s="68"/>
      <c r="YH10" s="68"/>
      <c r="YI10" s="68"/>
      <c r="YJ10" s="68"/>
      <c r="YK10" s="68"/>
      <c r="YL10" s="68"/>
      <c r="YM10" s="68"/>
      <c r="YN10" s="68"/>
      <c r="YO10" s="68"/>
      <c r="YP10" s="68"/>
      <c r="YQ10" s="68"/>
      <c r="YR10" s="68"/>
      <c r="YS10" s="68"/>
      <c r="YT10" s="68"/>
      <c r="YU10" s="68"/>
      <c r="YV10" s="68"/>
      <c r="YW10" s="68"/>
      <c r="YX10" s="68"/>
      <c r="YY10" s="68"/>
      <c r="YZ10" s="68"/>
      <c r="ZA10" s="68"/>
      <c r="ZB10" s="68"/>
      <c r="ZC10" s="68"/>
      <c r="ZD10" s="68"/>
      <c r="ZE10" s="68"/>
      <c r="ZF10" s="68"/>
      <c r="ZG10" s="68"/>
      <c r="ZH10" s="68"/>
      <c r="ZI10" s="68"/>
      <c r="ZJ10" s="68"/>
      <c r="ZK10" s="68"/>
      <c r="ZL10" s="68"/>
      <c r="ZM10" s="68"/>
      <c r="ZN10" s="68"/>
      <c r="ZO10" s="68"/>
      <c r="ZP10" s="68"/>
      <c r="ZQ10" s="68"/>
      <c r="ZR10" s="68"/>
      <c r="ZS10" s="68"/>
      <c r="ZT10" s="68"/>
      <c r="ZU10" s="68"/>
      <c r="ZV10" s="68"/>
      <c r="ZW10" s="68"/>
      <c r="ZX10" s="68"/>
      <c r="ZY10" s="68"/>
      <c r="ZZ10" s="68"/>
      <c r="AAA10" s="68"/>
      <c r="AAB10" s="68"/>
      <c r="AAC10" s="68"/>
      <c r="AAD10" s="68"/>
      <c r="AAE10" s="68"/>
      <c r="AAF10" s="68"/>
      <c r="AAG10" s="68"/>
      <c r="AAH10" s="68"/>
      <c r="AAI10" s="68"/>
      <c r="AAJ10" s="68"/>
      <c r="AAK10" s="68"/>
      <c r="AAL10" s="68"/>
      <c r="AAM10" s="68"/>
      <c r="AAN10" s="68"/>
      <c r="AAO10" s="68"/>
      <c r="AAP10" s="68"/>
      <c r="AAQ10" s="68"/>
      <c r="AAR10" s="68"/>
      <c r="AAS10" s="68"/>
      <c r="AAT10" s="68"/>
      <c r="AAU10" s="68"/>
      <c r="AAV10" s="68"/>
      <c r="AAW10" s="68"/>
      <c r="AAX10" s="68"/>
      <c r="AAY10" s="68"/>
      <c r="AAZ10" s="68"/>
      <c r="ABA10" s="68"/>
      <c r="ABB10" s="68"/>
      <c r="ABC10" s="68"/>
      <c r="ABD10" s="68"/>
      <c r="ABE10" s="68"/>
      <c r="ABF10" s="68"/>
      <c r="ABG10" s="68"/>
      <c r="ABH10" s="68"/>
      <c r="ABI10" s="68"/>
      <c r="ABJ10" s="68"/>
      <c r="ABK10" s="68"/>
      <c r="ABL10" s="68"/>
      <c r="ABM10" s="68"/>
      <c r="ABN10" s="68"/>
      <c r="ABO10" s="68"/>
      <c r="ABP10" s="68"/>
      <c r="ABQ10" s="68"/>
      <c r="ABR10" s="68"/>
      <c r="ABS10" s="68"/>
      <c r="ABT10" s="68"/>
      <c r="ABU10" s="68"/>
      <c r="ABV10" s="68"/>
      <c r="ABW10" s="68"/>
      <c r="ABX10" s="68"/>
      <c r="ABY10" s="68"/>
      <c r="ABZ10" s="68"/>
      <c r="ACA10" s="68"/>
      <c r="ACB10" s="68"/>
      <c r="ACC10" s="68"/>
      <c r="ACD10" s="68"/>
      <c r="ACE10" s="68"/>
      <c r="ACF10" s="68"/>
      <c r="ACG10" s="68"/>
      <c r="ACH10" s="68"/>
      <c r="ACI10" s="68"/>
      <c r="ACJ10" s="68"/>
      <c r="ACK10" s="68"/>
      <c r="ACL10" s="68"/>
      <c r="ACM10" s="68"/>
      <c r="ACN10" s="68"/>
      <c r="ACO10" s="68"/>
      <c r="ACP10" s="68"/>
    </row>
    <row r="11" spans="1:770" ht="48.75" customHeight="1">
      <c r="A11" s="423"/>
      <c r="B11" s="420"/>
      <c r="C11" s="68"/>
      <c r="D11" s="6"/>
      <c r="E11" s="68"/>
      <c r="F11" s="6"/>
      <c r="G11" s="68"/>
      <c r="H11" s="6"/>
      <c r="I11" s="68"/>
      <c r="J11" s="6"/>
      <c r="K11" s="68"/>
      <c r="L11" s="6"/>
      <c r="M11" s="68"/>
      <c r="N11" s="6"/>
      <c r="O11" s="68"/>
      <c r="P11" s="6"/>
      <c r="Q11" s="68"/>
      <c r="R11" s="6"/>
      <c r="S11" s="68"/>
      <c r="T11" s="6"/>
      <c r="U11" s="68"/>
      <c r="V11" s="6"/>
      <c r="W11" s="68"/>
      <c r="X11" s="6"/>
      <c r="Y11" s="68"/>
      <c r="Z11" s="6"/>
      <c r="AA11" s="68"/>
      <c r="AB11" s="6"/>
      <c r="AC11" s="68"/>
      <c r="AD11" s="6"/>
      <c r="AE11" s="68"/>
      <c r="AF11" s="6"/>
      <c r="AG11" s="68"/>
      <c r="AH11" s="6"/>
      <c r="AI11" s="68"/>
      <c r="AJ11" s="6"/>
      <c r="AK11" s="68"/>
      <c r="AL11" s="6"/>
      <c r="AM11" s="68"/>
      <c r="AN11" s="6"/>
      <c r="AO11" s="68"/>
      <c r="AP11" s="6"/>
      <c r="AQ11" s="68"/>
      <c r="AR11" s="6"/>
      <c r="AS11" s="68"/>
      <c r="AT11" s="6"/>
      <c r="AU11" s="68"/>
      <c r="AV11" s="6"/>
      <c r="AW11" s="68"/>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8"/>
      <c r="GN11" s="68"/>
      <c r="GO11" s="68"/>
      <c r="GP11" s="68"/>
      <c r="GQ11" s="68"/>
      <c r="GR11" s="68"/>
      <c r="GS11" s="68"/>
      <c r="GT11" s="68"/>
      <c r="GU11" s="68"/>
      <c r="GV11" s="6"/>
      <c r="GW11" s="68"/>
      <c r="GX11" s="68"/>
      <c r="GY11" s="68"/>
      <c r="GZ11" s="68"/>
      <c r="HA11" s="68"/>
      <c r="HB11" s="68"/>
      <c r="HC11" s="68"/>
      <c r="HD11" s="68"/>
      <c r="HE11" s="68"/>
      <c r="HF11" s="68"/>
      <c r="HG11" s="68"/>
      <c r="HH11" s="68"/>
      <c r="HI11" s="68"/>
      <c r="HJ11" s="68"/>
      <c r="HK11" s="68"/>
      <c r="HL11" s="68"/>
      <c r="HM11" s="68"/>
      <c r="HN11" s="68"/>
      <c r="HO11" s="68"/>
      <c r="HP11" s="68"/>
      <c r="HQ11" s="68"/>
      <c r="HR11" s="68"/>
      <c r="HS11" s="68"/>
      <c r="HT11" s="6"/>
      <c r="HU11" s="68"/>
      <c r="HV11" s="68"/>
      <c r="HW11" s="68"/>
      <c r="HX11" s="68"/>
      <c r="HY11" s="68"/>
      <c r="HZ11" s="68"/>
      <c r="IA11" s="68"/>
      <c r="IB11" s="68"/>
      <c r="IC11" s="68"/>
      <c r="ID11" s="68"/>
      <c r="IE11" s="68"/>
      <c r="IF11" s="68"/>
      <c r="IG11" s="68"/>
      <c r="IH11" s="68"/>
      <c r="II11" s="68"/>
      <c r="IJ11" s="68"/>
      <c r="IK11" s="68"/>
      <c r="IL11" s="68"/>
      <c r="IM11" s="68"/>
      <c r="IN11" s="68"/>
      <c r="IO11" s="68"/>
      <c r="IP11" s="68"/>
      <c r="IQ11" s="68"/>
      <c r="IR11" s="6"/>
      <c r="IS11" s="68"/>
      <c r="IT11" s="68"/>
      <c r="IU11" s="68"/>
      <c r="IV11" s="68"/>
      <c r="IW11" s="68"/>
      <c r="IX11" s="68"/>
      <c r="IY11" s="68"/>
      <c r="IZ11" s="68"/>
      <c r="JA11" s="68"/>
      <c r="JB11" s="68"/>
      <c r="JC11" s="68"/>
      <c r="JD11" s="68"/>
      <c r="JE11" s="68"/>
      <c r="JF11" s="68"/>
      <c r="JG11" s="68"/>
      <c r="JH11" s="68"/>
      <c r="JI11" s="68"/>
      <c r="JJ11" s="68"/>
      <c r="JK11" s="68"/>
      <c r="JL11" s="68"/>
      <c r="JM11" s="68"/>
      <c r="JN11" s="68"/>
      <c r="JO11" s="68"/>
      <c r="JP11" s="6"/>
      <c r="JQ11" s="68"/>
      <c r="JR11" s="68"/>
      <c r="JS11" s="68"/>
      <c r="JT11" s="68"/>
      <c r="JU11" s="68"/>
      <c r="JV11" s="68"/>
      <c r="JW11" s="68"/>
      <c r="JX11" s="68"/>
      <c r="JY11" s="68"/>
      <c r="JZ11" s="68"/>
      <c r="KA11" s="68"/>
      <c r="KB11" s="68"/>
      <c r="KC11" s="68"/>
      <c r="KD11" s="68"/>
      <c r="KE11" s="68"/>
      <c r="KF11" s="68"/>
      <c r="KG11" s="68"/>
      <c r="KH11" s="68"/>
      <c r="KI11" s="68"/>
      <c r="KJ11" s="68"/>
      <c r="KK11" s="68"/>
      <c r="KL11" s="68"/>
      <c r="KM11" s="68"/>
      <c r="KN11" s="6"/>
      <c r="KO11" s="68"/>
      <c r="KP11" s="68"/>
      <c r="KQ11" s="68"/>
      <c r="KR11" s="68"/>
      <c r="KS11" s="68"/>
      <c r="KT11" s="68"/>
      <c r="KU11" s="68"/>
      <c r="KV11" s="68"/>
      <c r="KW11" s="68"/>
      <c r="KX11" s="68"/>
      <c r="KY11" s="68"/>
      <c r="KZ11" s="68"/>
      <c r="LA11" s="68"/>
      <c r="LB11" s="68"/>
      <c r="LC11" s="68"/>
      <c r="LD11" s="68"/>
      <c r="LE11" s="68"/>
      <c r="LF11" s="68"/>
      <c r="LG11" s="68"/>
      <c r="LH11" s="68"/>
      <c r="LI11" s="68"/>
      <c r="LJ11" s="68"/>
      <c r="LK11" s="68"/>
      <c r="LL11" s="6"/>
      <c r="LM11" s="68"/>
      <c r="LN11" s="68"/>
      <c r="LO11" s="68"/>
      <c r="LP11" s="68"/>
      <c r="LQ11" s="68"/>
      <c r="LR11" s="68"/>
      <c r="LS11" s="68"/>
      <c r="LT11" s="68"/>
      <c r="LU11" s="68"/>
      <c r="LV11" s="68"/>
      <c r="LW11" s="68"/>
      <c r="LX11" s="68"/>
      <c r="LY11" s="68"/>
      <c r="LZ11" s="68"/>
      <c r="MA11" s="68"/>
      <c r="MB11" s="68"/>
      <c r="MC11" s="68"/>
      <c r="MD11" s="68"/>
      <c r="ME11" s="68"/>
      <c r="MF11" s="68"/>
      <c r="MG11" s="68"/>
      <c r="MH11" s="68"/>
      <c r="MI11" s="68"/>
      <c r="MJ11" s="6"/>
      <c r="MK11" s="68"/>
      <c r="ML11" s="68"/>
      <c r="MM11" s="68"/>
      <c r="MN11" s="68"/>
      <c r="MO11" s="68"/>
      <c r="MP11" s="68"/>
      <c r="MQ11" s="68"/>
      <c r="MR11" s="68"/>
      <c r="MS11" s="68"/>
      <c r="MT11" s="68"/>
      <c r="MU11" s="68"/>
      <c r="MV11" s="68"/>
      <c r="MW11" s="68"/>
      <c r="MX11" s="68"/>
      <c r="MY11" s="68"/>
      <c r="MZ11" s="68"/>
      <c r="NA11" s="68"/>
      <c r="NB11" s="68"/>
      <c r="NC11" s="68"/>
      <c r="ND11" s="68"/>
      <c r="NE11" s="68"/>
      <c r="NF11" s="68"/>
      <c r="NG11" s="68"/>
      <c r="NH11" s="68"/>
      <c r="NI11" s="68"/>
      <c r="NJ11" s="68"/>
      <c r="NK11" s="68"/>
      <c r="NL11" s="68"/>
      <c r="NM11" s="68"/>
      <c r="NN11" s="68"/>
      <c r="NO11" s="68"/>
      <c r="NP11" s="68"/>
      <c r="NQ11" s="68"/>
      <c r="NR11" s="68"/>
      <c r="NS11" s="68"/>
      <c r="NT11" s="68"/>
      <c r="NU11" s="68"/>
      <c r="NV11" s="68"/>
      <c r="NW11" s="68"/>
      <c r="NX11" s="68"/>
      <c r="NY11" s="68"/>
      <c r="NZ11" s="68"/>
      <c r="OA11" s="68"/>
      <c r="OB11" s="68"/>
      <c r="OC11" s="68"/>
      <c r="OD11" s="68"/>
      <c r="OE11" s="68"/>
      <c r="OF11" s="68"/>
      <c r="OG11" s="68"/>
      <c r="OH11" s="68"/>
      <c r="OI11" s="68"/>
      <c r="OJ11" s="68"/>
      <c r="OK11" s="68"/>
      <c r="OL11" s="68"/>
      <c r="OM11" s="68"/>
      <c r="ON11" s="68"/>
      <c r="OO11" s="68"/>
      <c r="OP11" s="68"/>
      <c r="OQ11" s="68"/>
      <c r="OR11" s="68"/>
      <c r="OS11" s="68"/>
      <c r="OT11" s="68"/>
      <c r="OU11" s="68"/>
      <c r="OV11" s="68"/>
      <c r="OW11" s="68"/>
      <c r="OX11" s="68"/>
      <c r="OY11" s="68"/>
      <c r="OZ11" s="68"/>
      <c r="PA11" s="68"/>
      <c r="PB11" s="68"/>
      <c r="PC11" s="68"/>
      <c r="PD11" s="68"/>
      <c r="PE11" s="68"/>
      <c r="PF11" s="68"/>
      <c r="PG11" s="68"/>
      <c r="PH11" s="68"/>
      <c r="PI11" s="68"/>
      <c r="PJ11" s="68"/>
      <c r="PK11" s="68"/>
      <c r="PL11" s="68"/>
      <c r="PM11" s="68"/>
      <c r="PN11" s="68"/>
      <c r="PO11" s="68"/>
      <c r="PP11" s="68"/>
      <c r="PQ11" s="68"/>
      <c r="PR11" s="68"/>
      <c r="PS11" s="68"/>
      <c r="PT11" s="68"/>
      <c r="PU11" s="68"/>
      <c r="PV11" s="68"/>
      <c r="PW11" s="68"/>
      <c r="PX11" s="68"/>
      <c r="PY11" s="68"/>
      <c r="PZ11" s="68"/>
      <c r="QA11" s="68"/>
      <c r="QB11" s="68"/>
      <c r="QC11" s="68"/>
      <c r="QD11" s="68"/>
      <c r="QE11" s="68"/>
      <c r="QF11" s="68"/>
      <c r="QG11" s="68"/>
      <c r="QH11" s="68"/>
      <c r="QI11" s="68"/>
      <c r="QJ11" s="68"/>
      <c r="QK11" s="68"/>
      <c r="QL11" s="68"/>
      <c r="QM11" s="68"/>
      <c r="QN11" s="68"/>
      <c r="QO11" s="68"/>
      <c r="QP11" s="68"/>
      <c r="QQ11" s="68"/>
      <c r="QR11" s="68"/>
      <c r="QS11" s="68"/>
      <c r="QT11" s="68"/>
      <c r="QU11" s="68"/>
      <c r="QV11" s="68"/>
      <c r="QW11" s="68"/>
      <c r="QX11" s="68"/>
      <c r="QY11" s="68"/>
      <c r="QZ11" s="68"/>
      <c r="RA11" s="68"/>
      <c r="RB11" s="68"/>
      <c r="RC11" s="68"/>
      <c r="RD11" s="68"/>
      <c r="RE11" s="68"/>
      <c r="RF11" s="68"/>
      <c r="RG11" s="68"/>
      <c r="RH11" s="68"/>
      <c r="RI11" s="68"/>
      <c r="RJ11" s="68"/>
      <c r="RK11" s="68"/>
      <c r="RL11" s="68"/>
      <c r="RM11" s="68"/>
      <c r="RN11" s="68"/>
      <c r="RO11" s="68"/>
      <c r="RP11" s="68"/>
      <c r="RQ11" s="68"/>
      <c r="RR11" s="68"/>
      <c r="RS11" s="68"/>
      <c r="RT11" s="68"/>
      <c r="RU11" s="68"/>
      <c r="RV11" s="68"/>
      <c r="RW11" s="68"/>
      <c r="RX11" s="68"/>
      <c r="RY11" s="68"/>
      <c r="RZ11" s="68"/>
      <c r="SA11" s="68"/>
      <c r="SB11" s="68"/>
      <c r="SC11" s="68"/>
      <c r="SD11" s="68"/>
      <c r="SE11" s="68"/>
      <c r="SF11" s="68"/>
      <c r="SG11" s="68"/>
      <c r="SH11" s="68"/>
      <c r="SI11" s="68"/>
      <c r="SJ11" s="68"/>
      <c r="SK11" s="68"/>
      <c r="SL11" s="68"/>
      <c r="SM11" s="68"/>
      <c r="SN11" s="68"/>
      <c r="SO11" s="68"/>
      <c r="SP11" s="68"/>
      <c r="SQ11" s="68"/>
      <c r="SR11" s="68"/>
      <c r="SS11" s="68"/>
      <c r="ST11" s="68"/>
      <c r="SU11" s="68"/>
      <c r="SV11" s="68"/>
      <c r="SW11" s="68"/>
      <c r="SX11" s="68"/>
      <c r="SY11" s="68"/>
      <c r="SZ11" s="68"/>
      <c r="TA11" s="68"/>
      <c r="TB11" s="68"/>
      <c r="TC11" s="68"/>
      <c r="TD11" s="68"/>
      <c r="TE11" s="68"/>
      <c r="TF11" s="68"/>
      <c r="TG11" s="68"/>
      <c r="TH11" s="68"/>
      <c r="TI11" s="68"/>
      <c r="TJ11" s="68"/>
      <c r="TK11" s="68"/>
      <c r="TL11" s="68"/>
      <c r="TM11" s="68"/>
      <c r="TN11" s="68"/>
      <c r="TO11" s="68"/>
      <c r="TP11" s="68"/>
      <c r="TQ11" s="68"/>
      <c r="TR11" s="68"/>
      <c r="TS11" s="68"/>
      <c r="TT11" s="68"/>
      <c r="TU11" s="68"/>
      <c r="TV11" s="68"/>
      <c r="TW11" s="68"/>
      <c r="TX11" s="68"/>
      <c r="TY11" s="68"/>
      <c r="TZ11" s="68"/>
      <c r="UA11" s="68"/>
      <c r="UB11" s="68"/>
      <c r="UC11" s="68"/>
      <c r="UD11" s="68"/>
      <c r="UE11" s="68"/>
      <c r="UF11" s="68"/>
      <c r="UG11" s="68"/>
      <c r="UH11" s="68"/>
      <c r="UI11" s="68"/>
      <c r="UJ11" s="68"/>
      <c r="UK11" s="68"/>
      <c r="UL11" s="68"/>
      <c r="UM11" s="68"/>
      <c r="UN11" s="68"/>
      <c r="UO11" s="68"/>
      <c r="UP11" s="68"/>
      <c r="UQ11" s="68"/>
      <c r="UR11" s="68"/>
      <c r="US11" s="68"/>
      <c r="UT11" s="68"/>
      <c r="UU11" s="68"/>
      <c r="UV11" s="68"/>
      <c r="UW11" s="68"/>
      <c r="UX11" s="68"/>
      <c r="UY11" s="68"/>
      <c r="UZ11" s="68"/>
      <c r="VA11" s="68"/>
      <c r="VB11" s="68"/>
      <c r="VC11" s="68"/>
      <c r="VD11" s="68"/>
      <c r="VE11" s="68"/>
      <c r="VF11" s="68"/>
      <c r="VG11" s="68"/>
      <c r="VH11" s="68"/>
      <c r="VI11" s="68"/>
      <c r="VJ11" s="68"/>
      <c r="VK11" s="68"/>
      <c r="VL11" s="68"/>
      <c r="VM11" s="68"/>
      <c r="VN11" s="68"/>
      <c r="VO11" s="68"/>
      <c r="VP11" s="68"/>
      <c r="VQ11" s="68"/>
      <c r="VR11" s="68"/>
      <c r="VS11" s="68"/>
      <c r="VT11" s="68"/>
      <c r="VU11" s="68"/>
      <c r="VV11" s="68"/>
      <c r="VW11" s="68"/>
      <c r="VX11" s="68"/>
      <c r="VY11" s="68"/>
      <c r="VZ11" s="68"/>
      <c r="WA11" s="68"/>
      <c r="WB11" s="68"/>
      <c r="WC11" s="68"/>
      <c r="WD11" s="68"/>
      <c r="WE11" s="68"/>
      <c r="WF11" s="68"/>
      <c r="WG11" s="68"/>
      <c r="WH11" s="68"/>
      <c r="WI11" s="68"/>
      <c r="WJ11" s="68"/>
      <c r="WK11" s="68"/>
      <c r="WL11" s="68"/>
      <c r="WM11" s="68"/>
      <c r="WN11" s="68"/>
      <c r="WO11" s="68"/>
      <c r="WP11" s="68"/>
      <c r="WQ11" s="68"/>
      <c r="WR11" s="68"/>
      <c r="WS11" s="68"/>
      <c r="WT11" s="68"/>
      <c r="WU11" s="68"/>
      <c r="WV11" s="68"/>
      <c r="WW11" s="68"/>
      <c r="WX11" s="68"/>
      <c r="WY11" s="68"/>
      <c r="WZ11" s="68"/>
      <c r="XA11" s="68"/>
      <c r="XB11" s="68"/>
      <c r="XC11" s="68"/>
      <c r="XD11" s="68"/>
      <c r="XE11" s="68"/>
      <c r="XF11" s="68"/>
      <c r="XG11" s="68"/>
      <c r="XH11" s="68"/>
      <c r="XI11" s="68"/>
      <c r="XJ11" s="68"/>
      <c r="XK11" s="68"/>
      <c r="XL11" s="68"/>
      <c r="XM11" s="68"/>
      <c r="XN11" s="68"/>
      <c r="XO11" s="68"/>
      <c r="XP11" s="68"/>
      <c r="XQ11" s="68"/>
      <c r="XR11" s="68"/>
      <c r="XS11" s="68"/>
      <c r="XT11" s="68"/>
      <c r="XU11" s="68"/>
      <c r="XV11" s="68"/>
      <c r="XW11" s="68"/>
      <c r="XX11" s="68"/>
      <c r="XY11" s="68"/>
      <c r="XZ11" s="68"/>
      <c r="YA11" s="68"/>
      <c r="YB11" s="68"/>
      <c r="YC11" s="68"/>
      <c r="YD11" s="68"/>
      <c r="YE11" s="68"/>
      <c r="YF11" s="68"/>
      <c r="YG11" s="68"/>
      <c r="YH11" s="68"/>
      <c r="YI11" s="68"/>
      <c r="YJ11" s="68"/>
      <c r="YK11" s="68"/>
      <c r="YL11" s="68"/>
      <c r="YM11" s="68"/>
      <c r="YN11" s="68"/>
      <c r="YO11" s="68"/>
      <c r="YP11" s="68"/>
      <c r="YQ11" s="68"/>
      <c r="YR11" s="68"/>
      <c r="YS11" s="68"/>
      <c r="YT11" s="68"/>
      <c r="YU11" s="68"/>
      <c r="YV11" s="68"/>
      <c r="YW11" s="68"/>
      <c r="YX11" s="68"/>
      <c r="YY11" s="68"/>
      <c r="YZ11" s="68"/>
      <c r="ZA11" s="68"/>
      <c r="ZB11" s="68"/>
      <c r="ZC11" s="68"/>
      <c r="ZD11" s="68"/>
      <c r="ZE11" s="68"/>
      <c r="ZF11" s="68"/>
      <c r="ZG11" s="68"/>
      <c r="ZH11" s="68"/>
      <c r="ZI11" s="68"/>
      <c r="ZJ11" s="68"/>
      <c r="ZK11" s="68"/>
      <c r="ZL11" s="68"/>
      <c r="ZM11" s="68"/>
      <c r="ZN11" s="68"/>
      <c r="ZO11" s="68"/>
      <c r="ZP11" s="68"/>
      <c r="ZQ11" s="68"/>
      <c r="ZR11" s="68"/>
      <c r="ZS11" s="68"/>
      <c r="ZT11" s="68"/>
      <c r="ZU11" s="68"/>
      <c r="ZV11" s="68"/>
      <c r="ZW11" s="68"/>
      <c r="ZX11" s="68"/>
      <c r="ZY11" s="68"/>
      <c r="ZZ11" s="68"/>
      <c r="AAA11" s="68"/>
      <c r="AAB11" s="68"/>
      <c r="AAC11" s="68"/>
      <c r="AAD11" s="68"/>
      <c r="AAE11" s="68"/>
      <c r="AAF11" s="68"/>
      <c r="AAG11" s="68"/>
      <c r="AAH11" s="68"/>
      <c r="AAI11" s="68"/>
      <c r="AAJ11" s="68"/>
      <c r="AAK11" s="68"/>
      <c r="AAL11" s="68"/>
      <c r="AAM11" s="68"/>
      <c r="AAN11" s="68"/>
      <c r="AAO11" s="68"/>
      <c r="AAP11" s="68"/>
      <c r="AAQ11" s="68"/>
      <c r="AAR11" s="68"/>
      <c r="AAS11" s="68"/>
      <c r="AAT11" s="68"/>
      <c r="AAU11" s="68"/>
      <c r="AAV11" s="68"/>
      <c r="AAW11" s="68"/>
      <c r="AAX11" s="68"/>
      <c r="AAY11" s="68"/>
      <c r="AAZ11" s="68"/>
      <c r="ABA11" s="68"/>
      <c r="ABB11" s="68"/>
      <c r="ABC11" s="68"/>
      <c r="ABD11" s="68"/>
      <c r="ABE11" s="68"/>
      <c r="ABF11" s="68"/>
      <c r="ABG11" s="68"/>
      <c r="ABH11" s="68"/>
      <c r="ABI11" s="68"/>
      <c r="ABJ11" s="68"/>
      <c r="ABK11" s="68"/>
      <c r="ABL11" s="68"/>
      <c r="ABM11" s="68"/>
      <c r="ABN11" s="68"/>
      <c r="ABO11" s="68"/>
      <c r="ABP11" s="68"/>
      <c r="ABQ11" s="68"/>
      <c r="ABR11" s="68"/>
      <c r="ABS11" s="68"/>
      <c r="ABT11" s="68"/>
      <c r="ABU11" s="68"/>
      <c r="ABV11" s="68"/>
      <c r="ABW11" s="68"/>
      <c r="ABX11" s="68"/>
      <c r="ABY11" s="68"/>
      <c r="ABZ11" s="68"/>
      <c r="ACA11" s="68"/>
      <c r="ACB11" s="68"/>
      <c r="ACC11" s="68"/>
      <c r="ACD11" s="68"/>
      <c r="ACE11" s="68"/>
      <c r="ACF11" s="68"/>
      <c r="ACG11" s="68"/>
      <c r="ACH11" s="68"/>
      <c r="ACI11" s="68"/>
      <c r="ACJ11" s="68"/>
      <c r="ACK11" s="68"/>
      <c r="ACL11" s="68"/>
      <c r="ACM11" s="68"/>
      <c r="ACN11" s="68"/>
      <c r="ACO11" s="68"/>
      <c r="ACP11" s="68"/>
    </row>
    <row r="12" spans="1:770" ht="36" customHeight="1" thickBot="1">
      <c r="A12" s="423"/>
      <c r="B12" s="420"/>
      <c r="C12" s="68"/>
      <c r="D12" s="8"/>
      <c r="E12" s="68"/>
      <c r="F12" s="8"/>
      <c r="G12" s="68"/>
      <c r="H12" s="8"/>
      <c r="I12" s="68"/>
      <c r="J12" s="8"/>
      <c r="K12" s="68"/>
      <c r="L12" s="8"/>
      <c r="M12" s="68"/>
      <c r="N12" s="8"/>
      <c r="O12" s="68"/>
      <c r="P12" s="8"/>
      <c r="Q12" s="68"/>
      <c r="R12" s="8"/>
      <c r="S12" s="68"/>
      <c r="T12" s="8"/>
      <c r="U12" s="68"/>
      <c r="V12" s="8"/>
      <c r="W12" s="68"/>
      <c r="X12" s="8"/>
      <c r="Y12" s="68"/>
      <c r="Z12" s="8"/>
      <c r="AA12" s="68"/>
      <c r="AB12" s="8"/>
      <c r="AC12" s="68"/>
      <c r="AD12" s="8"/>
      <c r="AE12" s="68"/>
      <c r="AF12" s="8"/>
      <c r="AG12" s="68"/>
      <c r="AH12" s="8"/>
      <c r="AI12" s="68"/>
      <c r="AJ12" s="8"/>
      <c r="AK12" s="68"/>
      <c r="AL12" s="8"/>
      <c r="AM12" s="68"/>
      <c r="AN12" s="8"/>
      <c r="AO12" s="68"/>
      <c r="AP12" s="8"/>
      <c r="AQ12" s="68"/>
      <c r="AR12" s="8"/>
      <c r="AS12" s="68"/>
      <c r="AT12" s="8"/>
      <c r="AU12" s="68"/>
      <c r="AV12" s="8"/>
      <c r="AW12" s="6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c r="IY12" s="8"/>
      <c r="IZ12" s="8"/>
      <c r="JA12" s="8"/>
      <c r="JB12" s="8"/>
      <c r="JC12" s="8"/>
      <c r="JD12" s="8"/>
      <c r="JE12" s="8"/>
      <c r="JF12" s="8"/>
      <c r="JG12" s="8"/>
      <c r="JH12" s="8"/>
      <c r="JI12" s="8"/>
      <c r="JJ12" s="8"/>
      <c r="JK12" s="8"/>
      <c r="JL12" s="8"/>
      <c r="JM12" s="8"/>
      <c r="JN12" s="8"/>
      <c r="JO12" s="8"/>
      <c r="JP12" s="8"/>
      <c r="JQ12" s="8"/>
      <c r="JR12" s="8"/>
      <c r="JS12" s="8"/>
      <c r="JT12" s="8"/>
      <c r="JU12" s="8"/>
      <c r="JV12" s="8"/>
      <c r="JW12" s="8"/>
      <c r="JX12" s="8"/>
      <c r="JY12" s="8"/>
      <c r="JZ12" s="8"/>
      <c r="KA12" s="8"/>
      <c r="KB12" s="8"/>
      <c r="KC12" s="8"/>
      <c r="KD12" s="8"/>
      <c r="KE12" s="8"/>
      <c r="KF12" s="8"/>
      <c r="KG12" s="8"/>
      <c r="KH12" s="8"/>
      <c r="KI12" s="8"/>
      <c r="KJ12" s="8"/>
      <c r="KK12" s="8"/>
      <c r="KL12" s="8"/>
      <c r="KM12" s="8"/>
      <c r="KN12" s="8"/>
      <c r="KO12" s="8"/>
      <c r="KP12" s="8"/>
      <c r="KQ12" s="8"/>
      <c r="KR12" s="8"/>
      <c r="KS12" s="8"/>
      <c r="KT12" s="8"/>
      <c r="KU12" s="8"/>
      <c r="KV12" s="8"/>
      <c r="KW12" s="8"/>
      <c r="KX12" s="8"/>
      <c r="KY12" s="8"/>
      <c r="KZ12" s="8"/>
      <c r="LA12" s="8"/>
      <c r="LB12" s="8"/>
      <c r="LC12" s="8"/>
      <c r="LD12" s="8"/>
      <c r="LE12" s="8"/>
      <c r="LF12" s="8"/>
      <c r="LG12" s="8"/>
      <c r="LH12" s="8"/>
      <c r="LI12" s="8"/>
      <c r="LJ12" s="8"/>
      <c r="LK12" s="8"/>
      <c r="LL12" s="8"/>
      <c r="LM12" s="8"/>
      <c r="LN12" s="8"/>
      <c r="LO12" s="8"/>
      <c r="LP12" s="8"/>
      <c r="LQ12" s="8"/>
      <c r="LR12" s="8"/>
      <c r="LS12" s="68"/>
      <c r="LT12" s="68"/>
      <c r="LU12" s="8"/>
      <c r="LV12" s="8"/>
      <c r="LW12" s="8"/>
      <c r="LX12" s="8"/>
      <c r="LY12" s="8"/>
      <c r="LZ12" s="8"/>
      <c r="MA12" s="8"/>
      <c r="MB12" s="8"/>
      <c r="MC12" s="8"/>
      <c r="MD12" s="8"/>
      <c r="ME12" s="8"/>
      <c r="MF12" s="8"/>
      <c r="MG12" s="8"/>
      <c r="MH12" s="8"/>
      <c r="MI12" s="8"/>
      <c r="MJ12" s="8"/>
      <c r="MK12" s="8"/>
      <c r="ML12" s="8"/>
      <c r="MM12" s="8"/>
      <c r="MN12" s="8"/>
      <c r="MO12" s="8"/>
      <c r="MP12" s="8"/>
      <c r="MQ12" s="68"/>
      <c r="MR12" s="68"/>
      <c r="MS12" s="68"/>
      <c r="MT12" s="68"/>
      <c r="MU12" s="8"/>
      <c r="MV12" s="8"/>
      <c r="MW12" s="8"/>
      <c r="MX12" s="8"/>
      <c r="MY12" s="8"/>
      <c r="MZ12" s="8"/>
      <c r="NA12" s="8"/>
      <c r="NB12" s="8"/>
      <c r="NC12" s="8"/>
      <c r="ND12" s="8"/>
      <c r="NE12" s="8"/>
      <c r="NF12" s="8"/>
      <c r="NG12" s="8"/>
      <c r="NH12" s="8"/>
      <c r="NI12" s="8"/>
      <c r="NJ12" s="8"/>
      <c r="NK12" s="8"/>
      <c r="NL12" s="8"/>
      <c r="NM12" s="8"/>
      <c r="NN12" s="8"/>
      <c r="NO12" s="8"/>
      <c r="NP12" s="8"/>
      <c r="NQ12" s="8"/>
      <c r="NR12" s="8"/>
      <c r="NS12" s="8"/>
      <c r="NT12" s="8"/>
      <c r="NU12" s="8"/>
      <c r="NV12" s="8"/>
      <c r="NW12" s="8"/>
      <c r="NX12" s="8"/>
      <c r="NY12" s="8"/>
      <c r="NZ12" s="8"/>
      <c r="OA12" s="8"/>
      <c r="OB12" s="8"/>
      <c r="OC12" s="8"/>
      <c r="OD12" s="8"/>
      <c r="OE12" s="8"/>
      <c r="OF12" s="8"/>
      <c r="OG12" s="8"/>
      <c r="OH12" s="8"/>
      <c r="OI12" s="8"/>
      <c r="OJ12" s="8"/>
      <c r="OK12" s="8"/>
      <c r="OL12" s="8"/>
      <c r="OM12" s="8"/>
      <c r="ON12" s="8"/>
      <c r="OO12" s="8"/>
      <c r="OP12" s="8"/>
      <c r="OQ12" s="8"/>
      <c r="OR12" s="8"/>
      <c r="OS12" s="8"/>
      <c r="OT12" s="8"/>
      <c r="OU12" s="8"/>
      <c r="OV12" s="8"/>
      <c r="OW12" s="8"/>
      <c r="OX12" s="8"/>
      <c r="OY12" s="8"/>
      <c r="OZ12" s="8"/>
      <c r="PA12" s="8"/>
      <c r="PB12" s="8"/>
      <c r="PC12" s="8"/>
      <c r="PD12" s="8"/>
      <c r="PE12" s="8"/>
      <c r="PF12" s="8"/>
      <c r="PG12" s="8"/>
      <c r="PH12" s="8"/>
      <c r="PI12" s="8"/>
      <c r="PJ12" s="8"/>
      <c r="PK12" s="8"/>
      <c r="PL12" s="8"/>
      <c r="PM12" s="8"/>
      <c r="PN12" s="8"/>
      <c r="PO12" s="8"/>
      <c r="PP12" s="8"/>
      <c r="PQ12" s="8"/>
      <c r="PR12" s="8"/>
      <c r="PS12" s="8"/>
      <c r="PT12" s="8"/>
      <c r="PU12" s="8"/>
      <c r="PV12" s="8"/>
      <c r="PW12" s="8"/>
      <c r="PX12" s="8"/>
      <c r="PY12" s="8"/>
      <c r="PZ12" s="8"/>
      <c r="QA12" s="8"/>
      <c r="QB12" s="8"/>
      <c r="QC12" s="8"/>
      <c r="QD12" s="8"/>
      <c r="QE12" s="8"/>
      <c r="QF12" s="8"/>
      <c r="QG12" s="8"/>
      <c r="QH12" s="8"/>
      <c r="QI12" s="8"/>
      <c r="QJ12" s="8"/>
      <c r="QK12" s="8"/>
      <c r="QL12" s="8"/>
      <c r="QM12" s="8"/>
      <c r="QN12" s="8"/>
      <c r="QO12" s="8"/>
      <c r="QP12" s="8"/>
      <c r="QQ12" s="8"/>
      <c r="QR12" s="8"/>
      <c r="QS12" s="8"/>
      <c r="QT12" s="8"/>
      <c r="QU12" s="8"/>
      <c r="QV12" s="8"/>
      <c r="QW12" s="8"/>
      <c r="QX12" s="8"/>
      <c r="QY12" s="8"/>
      <c r="QZ12" s="8"/>
      <c r="RA12" s="8"/>
      <c r="RB12" s="8"/>
      <c r="RC12" s="8"/>
      <c r="RD12" s="8"/>
      <c r="RE12" s="8"/>
      <c r="RF12" s="8"/>
      <c r="RG12" s="8"/>
      <c r="RH12" s="8"/>
      <c r="RI12" s="8"/>
      <c r="RJ12" s="8"/>
      <c r="RK12" s="8"/>
      <c r="RL12" s="8"/>
      <c r="RM12" s="8"/>
      <c r="RN12" s="8"/>
      <c r="RO12" s="68"/>
      <c r="RP12" s="8"/>
      <c r="RQ12" s="68"/>
      <c r="RR12" s="8"/>
      <c r="RS12" s="68"/>
      <c r="RT12" s="8"/>
      <c r="RU12" s="68"/>
      <c r="RV12" s="8"/>
      <c r="RW12" s="68"/>
      <c r="RX12" s="8"/>
      <c r="RY12" s="68"/>
      <c r="RZ12" s="8"/>
      <c r="SA12" s="68"/>
      <c r="SB12" s="8"/>
      <c r="SC12" s="68"/>
      <c r="SD12" s="8"/>
      <c r="SE12" s="68"/>
      <c r="SF12" s="8"/>
      <c r="SG12" s="68"/>
      <c r="SH12" s="8"/>
      <c r="SI12" s="68"/>
      <c r="SJ12" s="8"/>
      <c r="SK12" s="68"/>
      <c r="SL12" s="8"/>
      <c r="SM12" s="68"/>
      <c r="SN12" s="8"/>
      <c r="SO12" s="68"/>
      <c r="SP12" s="8"/>
      <c r="SQ12" s="68"/>
      <c r="SR12" s="8"/>
      <c r="SS12" s="68"/>
      <c r="ST12" s="8"/>
      <c r="SU12" s="68"/>
      <c r="SV12" s="8"/>
      <c r="SW12" s="68"/>
      <c r="SX12" s="8"/>
      <c r="SY12" s="68"/>
      <c r="SZ12" s="8"/>
      <c r="TA12" s="68"/>
      <c r="TB12" s="8"/>
      <c r="TC12" s="68"/>
      <c r="TD12" s="8"/>
      <c r="TE12" s="68"/>
      <c r="TF12" s="8"/>
      <c r="TG12" s="68"/>
      <c r="TH12" s="8"/>
      <c r="TI12" s="68"/>
      <c r="TJ12" s="8"/>
      <c r="TK12" s="68"/>
      <c r="TL12" s="8"/>
      <c r="TM12" s="68"/>
      <c r="TN12" s="8"/>
      <c r="TO12" s="68"/>
      <c r="TP12" s="8"/>
      <c r="TQ12" s="68"/>
      <c r="TR12" s="8"/>
      <c r="TS12" s="68"/>
      <c r="TT12" s="8"/>
      <c r="TU12" s="68"/>
      <c r="TV12" s="8"/>
      <c r="TW12" s="68"/>
      <c r="TX12" s="8"/>
      <c r="TY12" s="68"/>
      <c r="TZ12" s="8"/>
      <c r="UA12" s="68"/>
      <c r="UB12" s="8"/>
      <c r="UC12" s="68"/>
      <c r="UD12" s="8"/>
      <c r="UE12" s="68"/>
      <c r="UF12" s="8"/>
      <c r="UG12" s="68"/>
      <c r="UH12" s="8"/>
      <c r="UI12" s="68"/>
      <c r="UJ12" s="8"/>
      <c r="UK12" s="68"/>
      <c r="UL12" s="8"/>
      <c r="UM12" s="68"/>
      <c r="UN12" s="8"/>
      <c r="UO12" s="68"/>
      <c r="UP12" s="8"/>
      <c r="UQ12" s="68"/>
      <c r="UR12" s="8"/>
      <c r="US12" s="68"/>
      <c r="UT12" s="8"/>
      <c r="UU12" s="68"/>
      <c r="UV12" s="8"/>
      <c r="UW12" s="68"/>
      <c r="UX12" s="8"/>
      <c r="UY12" s="68"/>
      <c r="UZ12" s="8"/>
      <c r="VA12" s="68"/>
      <c r="VB12" s="8"/>
      <c r="VC12" s="68"/>
      <c r="VD12" s="8"/>
      <c r="VE12" s="68"/>
      <c r="VF12" s="8"/>
      <c r="VG12" s="68"/>
      <c r="VH12" s="68"/>
      <c r="VI12" s="68"/>
      <c r="VJ12" s="68"/>
      <c r="VK12" s="68"/>
      <c r="VL12" s="68"/>
      <c r="VM12" s="68"/>
      <c r="VN12" s="68"/>
      <c r="VO12" s="68"/>
      <c r="VP12" s="68"/>
      <c r="VQ12" s="68"/>
      <c r="VR12" s="68"/>
      <c r="VS12" s="68"/>
      <c r="VT12" s="68"/>
      <c r="VU12" s="68"/>
      <c r="VV12" s="68"/>
      <c r="VW12" s="68"/>
      <c r="VX12" s="68"/>
      <c r="VY12" s="68"/>
      <c r="VZ12" s="68"/>
      <c r="WA12" s="68"/>
      <c r="WB12" s="68"/>
      <c r="WC12" s="68"/>
      <c r="WD12" s="68"/>
      <c r="WE12" s="68"/>
      <c r="WF12" s="68"/>
      <c r="WG12" s="68"/>
      <c r="WH12" s="68"/>
      <c r="WI12" s="68"/>
      <c r="WJ12" s="68"/>
      <c r="WK12" s="68"/>
      <c r="WL12" s="68"/>
      <c r="WM12" s="68"/>
      <c r="WN12" s="68"/>
      <c r="WO12" s="68"/>
      <c r="WP12" s="68"/>
      <c r="WQ12" s="68"/>
      <c r="WR12" s="68"/>
      <c r="WS12" s="68"/>
      <c r="WT12" s="68"/>
      <c r="WU12" s="68"/>
      <c r="WV12" s="68"/>
      <c r="WW12" s="68"/>
      <c r="WX12" s="68"/>
      <c r="WY12" s="68"/>
      <c r="WZ12" s="68"/>
      <c r="XA12" s="68"/>
      <c r="XB12" s="68"/>
      <c r="XC12" s="68"/>
      <c r="XD12" s="68"/>
      <c r="XE12" s="68"/>
      <c r="XF12" s="68"/>
      <c r="XG12" s="68"/>
      <c r="XH12" s="68"/>
      <c r="XI12" s="68"/>
      <c r="XJ12" s="68"/>
      <c r="XK12" s="68"/>
      <c r="XL12" s="68"/>
      <c r="XM12" s="68"/>
      <c r="XN12" s="68"/>
      <c r="XO12" s="68"/>
      <c r="XP12" s="68"/>
      <c r="XQ12" s="68"/>
      <c r="XR12" s="68"/>
      <c r="XS12" s="68"/>
      <c r="XT12" s="68"/>
      <c r="XU12" s="68"/>
      <c r="XV12" s="68"/>
      <c r="XW12" s="68"/>
      <c r="XX12" s="68"/>
      <c r="XY12" s="68"/>
      <c r="XZ12" s="68"/>
      <c r="YA12" s="68"/>
      <c r="YB12" s="68"/>
      <c r="YC12" s="68"/>
      <c r="YD12" s="68"/>
      <c r="YE12" s="68"/>
      <c r="YF12" s="68"/>
      <c r="YG12" s="68"/>
      <c r="YH12" s="68"/>
      <c r="YI12" s="68"/>
      <c r="YJ12" s="68"/>
      <c r="YK12" s="68"/>
      <c r="YL12" s="68"/>
      <c r="YM12" s="68"/>
      <c r="YN12" s="68"/>
      <c r="YO12" s="68"/>
      <c r="YP12" s="68"/>
      <c r="YQ12" s="68"/>
      <c r="YR12" s="68"/>
      <c r="YS12" s="68"/>
      <c r="YT12" s="68"/>
      <c r="YU12" s="68"/>
      <c r="YV12" s="68"/>
      <c r="YW12" s="68"/>
      <c r="YX12" s="68"/>
      <c r="YY12" s="68"/>
      <c r="YZ12" s="68"/>
      <c r="ZA12" s="68"/>
      <c r="ZB12" s="68"/>
      <c r="ZC12" s="68"/>
      <c r="ZD12" s="68"/>
      <c r="ZE12" s="68"/>
      <c r="ZF12" s="68"/>
      <c r="ZG12" s="68"/>
      <c r="ZH12" s="68"/>
      <c r="ZI12" s="68"/>
      <c r="ZJ12" s="68"/>
      <c r="ZK12" s="68"/>
      <c r="ZL12" s="68"/>
      <c r="ZM12" s="68"/>
      <c r="ZN12" s="68"/>
      <c r="ZO12" s="68"/>
      <c r="ZP12" s="68"/>
      <c r="ZQ12" s="68"/>
      <c r="ZR12" s="68"/>
      <c r="ZS12" s="68"/>
      <c r="ZT12" s="68"/>
      <c r="ZU12" s="68"/>
      <c r="ZV12" s="68"/>
      <c r="ZW12" s="68"/>
      <c r="ZX12" s="68"/>
      <c r="ZY12" s="68"/>
      <c r="ZZ12" s="68"/>
      <c r="AAA12" s="68"/>
      <c r="AAB12" s="68"/>
      <c r="AAC12" s="68"/>
      <c r="AAD12" s="68"/>
      <c r="AAE12" s="68"/>
      <c r="AAF12" s="68"/>
      <c r="AAG12" s="68"/>
      <c r="AAH12" s="68"/>
      <c r="AAI12" s="68"/>
      <c r="AAJ12" s="68"/>
      <c r="AAK12" s="68"/>
      <c r="AAL12" s="68"/>
      <c r="AAM12" s="68"/>
      <c r="AAN12" s="68"/>
      <c r="AAO12" s="68"/>
      <c r="AAP12" s="68"/>
      <c r="AAQ12" s="68"/>
      <c r="AAR12" s="68"/>
      <c r="AAS12" s="68"/>
      <c r="AAT12" s="68"/>
      <c r="AAU12" s="68"/>
      <c r="AAV12" s="68"/>
      <c r="AAW12" s="68"/>
      <c r="AAX12" s="68"/>
      <c r="AAY12" s="68"/>
      <c r="AAZ12" s="68"/>
      <c r="ABA12" s="68"/>
      <c r="ABB12" s="68"/>
      <c r="ABC12" s="68"/>
      <c r="ABD12" s="68"/>
      <c r="ABE12" s="68"/>
      <c r="ABF12" s="68"/>
      <c r="ABG12" s="68"/>
      <c r="ABH12" s="68"/>
      <c r="ABI12" s="68"/>
      <c r="ABJ12" s="68"/>
      <c r="ABK12" s="68"/>
      <c r="ABL12" s="68"/>
      <c r="ABM12" s="68"/>
      <c r="ABN12" s="68"/>
      <c r="ABO12" s="68"/>
      <c r="ABP12" s="68"/>
      <c r="ABQ12" s="68"/>
      <c r="ABR12" s="68"/>
      <c r="ABS12" s="68"/>
      <c r="ABT12" s="68"/>
      <c r="ABU12" s="68"/>
      <c r="ABV12" s="68"/>
      <c r="ABW12" s="68"/>
      <c r="ABX12" s="68"/>
      <c r="ABY12" s="68"/>
      <c r="ABZ12" s="68"/>
      <c r="ACA12" s="68"/>
      <c r="ACB12" s="68"/>
      <c r="ACC12" s="68"/>
      <c r="ACD12" s="68"/>
      <c r="ACE12" s="68"/>
      <c r="ACF12" s="68"/>
      <c r="ACG12" s="68"/>
      <c r="ACH12" s="68"/>
      <c r="ACI12" s="68"/>
      <c r="ACJ12" s="68"/>
      <c r="ACK12" s="68"/>
      <c r="ACL12" s="68"/>
      <c r="ACM12" s="68"/>
      <c r="ACN12" s="68"/>
      <c r="ACO12" s="68"/>
      <c r="ACP12" s="68"/>
    </row>
    <row r="13" spans="1:770" ht="30.75" customHeight="1" thickBot="1">
      <c r="A13" s="427" t="s">
        <v>180</v>
      </c>
      <c r="B13" s="428"/>
      <c r="C13" s="70">
        <f>SUM(C8:C12)</f>
        <v>11</v>
      </c>
      <c r="D13" s="70" t="e">
        <f t="shared" ref="D13:Z13" si="0">SUM(D8:D12)</f>
        <v>#VALUE!</v>
      </c>
      <c r="E13" s="70" t="e">
        <f t="shared" si="0"/>
        <v>#VALUE!</v>
      </c>
      <c r="F13" s="70" t="e">
        <f t="shared" si="0"/>
        <v>#VALUE!</v>
      </c>
      <c r="G13" s="70" t="e">
        <f t="shared" si="0"/>
        <v>#VALUE!</v>
      </c>
      <c r="H13" s="70" t="e">
        <f t="shared" si="0"/>
        <v>#VALUE!</v>
      </c>
      <c r="I13" s="70" t="e">
        <f>SUM(I8:I12)</f>
        <v>#VALUE!</v>
      </c>
      <c r="J13" s="70" t="e">
        <f t="shared" si="0"/>
        <v>#VALUE!</v>
      </c>
      <c r="K13" s="70" t="e">
        <f t="shared" si="0"/>
        <v>#VALUE!</v>
      </c>
      <c r="L13" s="70" t="e">
        <f t="shared" si="0"/>
        <v>#VALUE!</v>
      </c>
      <c r="M13" s="70" t="e">
        <f t="shared" si="0"/>
        <v>#VALUE!</v>
      </c>
      <c r="N13" s="70" t="e">
        <f t="shared" si="0"/>
        <v>#VALUE!</v>
      </c>
      <c r="O13" s="70" t="e">
        <f t="shared" si="0"/>
        <v>#VALUE!</v>
      </c>
      <c r="P13" s="70" t="e">
        <f t="shared" si="0"/>
        <v>#VALUE!</v>
      </c>
      <c r="Q13" s="70" t="e">
        <f t="shared" si="0"/>
        <v>#VALUE!</v>
      </c>
      <c r="R13" s="70" t="e">
        <f t="shared" si="0"/>
        <v>#VALUE!</v>
      </c>
      <c r="S13" s="70" t="e">
        <f t="shared" si="0"/>
        <v>#VALUE!</v>
      </c>
      <c r="T13" s="70" t="e">
        <f t="shared" si="0"/>
        <v>#VALUE!</v>
      </c>
      <c r="U13" s="70" t="e">
        <f t="shared" si="0"/>
        <v>#VALUE!</v>
      </c>
      <c r="V13" s="70" t="e">
        <f t="shared" si="0"/>
        <v>#VALUE!</v>
      </c>
      <c r="W13" s="70" t="e">
        <f t="shared" si="0"/>
        <v>#VALUE!</v>
      </c>
      <c r="X13" s="70" t="e">
        <f t="shared" si="0"/>
        <v>#VALUE!</v>
      </c>
      <c r="Y13" s="70" t="e">
        <f t="shared" si="0"/>
        <v>#VALUE!</v>
      </c>
      <c r="Z13" s="71" t="e">
        <f t="shared" si="0"/>
        <v>#VALUE!</v>
      </c>
      <c r="AA13" s="72" t="e">
        <f>SUM(AA8:AA12)</f>
        <v>#VALUE!</v>
      </c>
      <c r="AB13" s="70" t="e">
        <f t="shared" ref="AB13:AX13" si="1">SUM(AB8:AB12)</f>
        <v>#VALUE!</v>
      </c>
      <c r="AC13" s="70" t="e">
        <f t="shared" si="1"/>
        <v>#VALUE!</v>
      </c>
      <c r="AD13" s="70" t="e">
        <f t="shared" si="1"/>
        <v>#VALUE!</v>
      </c>
      <c r="AE13" s="70" t="e">
        <f t="shared" si="1"/>
        <v>#VALUE!</v>
      </c>
      <c r="AF13" s="70" t="e">
        <f t="shared" si="1"/>
        <v>#VALUE!</v>
      </c>
      <c r="AG13" s="70" t="e">
        <f t="shared" si="1"/>
        <v>#VALUE!</v>
      </c>
      <c r="AH13" s="70" t="e">
        <f t="shared" si="1"/>
        <v>#VALUE!</v>
      </c>
      <c r="AI13" s="70" t="e">
        <f t="shared" si="1"/>
        <v>#VALUE!</v>
      </c>
      <c r="AJ13" s="70" t="e">
        <f t="shared" si="1"/>
        <v>#VALUE!</v>
      </c>
      <c r="AK13" s="70" t="e">
        <f t="shared" si="1"/>
        <v>#VALUE!</v>
      </c>
      <c r="AL13" s="70" t="e">
        <f t="shared" si="1"/>
        <v>#VALUE!</v>
      </c>
      <c r="AM13" s="70" t="e">
        <f t="shared" si="1"/>
        <v>#VALUE!</v>
      </c>
      <c r="AN13" s="70" t="e">
        <f t="shared" si="1"/>
        <v>#VALUE!</v>
      </c>
      <c r="AO13" s="70" t="e">
        <f t="shared" si="1"/>
        <v>#VALUE!</v>
      </c>
      <c r="AP13" s="70" t="e">
        <f t="shared" si="1"/>
        <v>#VALUE!</v>
      </c>
      <c r="AQ13" s="70" t="e">
        <f t="shared" si="1"/>
        <v>#VALUE!</v>
      </c>
      <c r="AR13" s="70" t="e">
        <f t="shared" si="1"/>
        <v>#VALUE!</v>
      </c>
      <c r="AS13" s="70" t="e">
        <f t="shared" si="1"/>
        <v>#VALUE!</v>
      </c>
      <c r="AT13" s="70" t="e">
        <f t="shared" si="1"/>
        <v>#VALUE!</v>
      </c>
      <c r="AU13" s="70" t="e">
        <f t="shared" si="1"/>
        <v>#VALUE!</v>
      </c>
      <c r="AV13" s="70" t="e">
        <f t="shared" si="1"/>
        <v>#VALUE!</v>
      </c>
      <c r="AW13" s="70" t="e">
        <f t="shared" si="1"/>
        <v>#VALUE!</v>
      </c>
      <c r="AX13" s="73" t="e">
        <f t="shared" si="1"/>
        <v>#VALUE!</v>
      </c>
      <c r="AY13" s="72" t="e">
        <f>SUM(AY8:AY12)</f>
        <v>#VALUE!</v>
      </c>
      <c r="AZ13" s="70" t="e">
        <f>SUM(AZ8:AZ12)</f>
        <v>#VALUE!</v>
      </c>
      <c r="BA13" s="70" t="e">
        <f t="shared" ref="BA13:BV13" si="2">SUM(BA8:BA12)</f>
        <v>#VALUE!</v>
      </c>
      <c r="BB13" s="70" t="e">
        <f t="shared" si="2"/>
        <v>#VALUE!</v>
      </c>
      <c r="BC13" s="70" t="e">
        <f t="shared" si="2"/>
        <v>#VALUE!</v>
      </c>
      <c r="BD13" s="70" t="e">
        <f t="shared" si="2"/>
        <v>#VALUE!</v>
      </c>
      <c r="BE13" s="70" t="e">
        <f t="shared" si="2"/>
        <v>#VALUE!</v>
      </c>
      <c r="BF13" s="70" t="e">
        <f t="shared" si="2"/>
        <v>#VALUE!</v>
      </c>
      <c r="BG13" s="70" t="e">
        <f t="shared" si="2"/>
        <v>#VALUE!</v>
      </c>
      <c r="BH13" s="70" t="e">
        <f t="shared" si="2"/>
        <v>#VALUE!</v>
      </c>
      <c r="BI13" s="70" t="e">
        <f t="shared" si="2"/>
        <v>#VALUE!</v>
      </c>
      <c r="BJ13" s="70" t="e">
        <f t="shared" si="2"/>
        <v>#VALUE!</v>
      </c>
      <c r="BK13" s="70" t="e">
        <f t="shared" si="2"/>
        <v>#VALUE!</v>
      </c>
      <c r="BL13" s="70" t="e">
        <f t="shared" si="2"/>
        <v>#VALUE!</v>
      </c>
      <c r="BM13" s="70" t="e">
        <f t="shared" si="2"/>
        <v>#VALUE!</v>
      </c>
      <c r="BN13" s="70" t="e">
        <f t="shared" si="2"/>
        <v>#VALUE!</v>
      </c>
      <c r="BO13" s="70" t="e">
        <f t="shared" si="2"/>
        <v>#VALUE!</v>
      </c>
      <c r="BP13" s="70" t="e">
        <f t="shared" si="2"/>
        <v>#VALUE!</v>
      </c>
      <c r="BQ13" s="70" t="e">
        <f t="shared" si="2"/>
        <v>#VALUE!</v>
      </c>
      <c r="BR13" s="70" t="e">
        <f t="shared" si="2"/>
        <v>#VALUE!</v>
      </c>
      <c r="BS13" s="70" t="e">
        <f t="shared" si="2"/>
        <v>#VALUE!</v>
      </c>
      <c r="BT13" s="70" t="e">
        <f t="shared" si="2"/>
        <v>#VALUE!</v>
      </c>
      <c r="BU13" s="70" t="e">
        <f t="shared" si="2"/>
        <v>#VALUE!</v>
      </c>
      <c r="BV13" s="73" t="e">
        <f t="shared" si="2"/>
        <v>#VALUE!</v>
      </c>
      <c r="BW13" s="72" t="e">
        <f>SUM(BW8:BW12)</f>
        <v>#VALUE!</v>
      </c>
      <c r="BX13" s="70">
        <f>SUM(BX8:BX12)</f>
        <v>0</v>
      </c>
      <c r="BY13" s="70">
        <f t="shared" ref="BY13:CT13" si="3">SUM(BY8:BY12)</f>
        <v>0</v>
      </c>
      <c r="BZ13" s="70">
        <f t="shared" si="3"/>
        <v>0</v>
      </c>
      <c r="CA13" s="70">
        <f t="shared" si="3"/>
        <v>0</v>
      </c>
      <c r="CB13" s="70">
        <f t="shared" si="3"/>
        <v>0</v>
      </c>
      <c r="CC13" s="70">
        <f t="shared" si="3"/>
        <v>0</v>
      </c>
      <c r="CD13" s="70">
        <f t="shared" si="3"/>
        <v>0</v>
      </c>
      <c r="CE13" s="70">
        <f t="shared" si="3"/>
        <v>0</v>
      </c>
      <c r="CF13" s="70">
        <f t="shared" si="3"/>
        <v>0</v>
      </c>
      <c r="CG13" s="70">
        <f t="shared" si="3"/>
        <v>0</v>
      </c>
      <c r="CH13" s="70">
        <f t="shared" si="3"/>
        <v>0</v>
      </c>
      <c r="CI13" s="70">
        <f t="shared" si="3"/>
        <v>0</v>
      </c>
      <c r="CJ13" s="70">
        <f t="shared" si="3"/>
        <v>0</v>
      </c>
      <c r="CK13" s="70">
        <f t="shared" si="3"/>
        <v>0</v>
      </c>
      <c r="CL13" s="70">
        <f t="shared" si="3"/>
        <v>0</v>
      </c>
      <c r="CM13" s="70">
        <f t="shared" si="3"/>
        <v>0</v>
      </c>
      <c r="CN13" s="70">
        <f t="shared" si="3"/>
        <v>0</v>
      </c>
      <c r="CO13" s="70">
        <f t="shared" si="3"/>
        <v>0</v>
      </c>
      <c r="CP13" s="70">
        <f t="shared" si="3"/>
        <v>0</v>
      </c>
      <c r="CQ13" s="70">
        <f t="shared" si="3"/>
        <v>0</v>
      </c>
      <c r="CR13" s="70">
        <f t="shared" si="3"/>
        <v>0</v>
      </c>
      <c r="CS13" s="70">
        <f t="shared" si="3"/>
        <v>0</v>
      </c>
      <c r="CT13" s="73">
        <f t="shared" si="3"/>
        <v>0</v>
      </c>
      <c r="CU13" s="72" t="e">
        <f>SUM(CU8:CU12)</f>
        <v>#VALUE!</v>
      </c>
      <c r="CV13" s="70" t="e">
        <f>SUM(CV8:CV12)</f>
        <v>#VALUE!</v>
      </c>
      <c r="CW13" s="70" t="e">
        <f t="shared" ref="CW13:DR13" si="4">SUM(CW8:CW12)</f>
        <v>#VALUE!</v>
      </c>
      <c r="CX13" s="70" t="e">
        <f t="shared" si="4"/>
        <v>#VALUE!</v>
      </c>
      <c r="CY13" s="70" t="e">
        <f t="shared" si="4"/>
        <v>#VALUE!</v>
      </c>
      <c r="CZ13" s="70" t="e">
        <f t="shared" si="4"/>
        <v>#VALUE!</v>
      </c>
      <c r="DA13" s="70" t="e">
        <f t="shared" si="4"/>
        <v>#VALUE!</v>
      </c>
      <c r="DB13" s="70" t="e">
        <f t="shared" si="4"/>
        <v>#VALUE!</v>
      </c>
      <c r="DC13" s="70" t="e">
        <f t="shared" si="4"/>
        <v>#VALUE!</v>
      </c>
      <c r="DD13" s="70" t="e">
        <f t="shared" si="4"/>
        <v>#VALUE!</v>
      </c>
      <c r="DE13" s="70" t="e">
        <f t="shared" si="4"/>
        <v>#VALUE!</v>
      </c>
      <c r="DF13" s="70" t="e">
        <f t="shared" si="4"/>
        <v>#VALUE!</v>
      </c>
      <c r="DG13" s="70" t="e">
        <f t="shared" si="4"/>
        <v>#VALUE!</v>
      </c>
      <c r="DH13" s="70" t="e">
        <f t="shared" si="4"/>
        <v>#VALUE!</v>
      </c>
      <c r="DI13" s="70" t="e">
        <f t="shared" si="4"/>
        <v>#VALUE!</v>
      </c>
      <c r="DJ13" s="70" t="e">
        <f t="shared" si="4"/>
        <v>#VALUE!</v>
      </c>
      <c r="DK13" s="70" t="e">
        <f t="shared" si="4"/>
        <v>#VALUE!</v>
      </c>
      <c r="DL13" s="70" t="e">
        <f t="shared" si="4"/>
        <v>#VALUE!</v>
      </c>
      <c r="DM13" s="70" t="e">
        <f t="shared" si="4"/>
        <v>#VALUE!</v>
      </c>
      <c r="DN13" s="70" t="e">
        <f t="shared" si="4"/>
        <v>#VALUE!</v>
      </c>
      <c r="DO13" s="70" t="e">
        <f t="shared" si="4"/>
        <v>#VALUE!</v>
      </c>
      <c r="DP13" s="70" t="e">
        <f t="shared" si="4"/>
        <v>#VALUE!</v>
      </c>
      <c r="DQ13" s="70" t="e">
        <f t="shared" si="4"/>
        <v>#VALUE!</v>
      </c>
      <c r="DR13" s="73" t="e">
        <f t="shared" si="4"/>
        <v>#VALUE!</v>
      </c>
      <c r="DS13" s="72" t="e">
        <f>SUM(DS8:DS12)</f>
        <v>#VALUE!</v>
      </c>
      <c r="DT13" s="70" t="e">
        <f>SUM(DT8:DT12)</f>
        <v>#VALUE!</v>
      </c>
      <c r="DU13" s="70" t="e">
        <f t="shared" ref="DU13:EP13" si="5">SUM(DU8:DU12)</f>
        <v>#VALUE!</v>
      </c>
      <c r="DV13" s="70" t="e">
        <f t="shared" si="5"/>
        <v>#VALUE!</v>
      </c>
      <c r="DW13" s="70" t="e">
        <f t="shared" si="5"/>
        <v>#VALUE!</v>
      </c>
      <c r="DX13" s="70" t="e">
        <f t="shared" si="5"/>
        <v>#VALUE!</v>
      </c>
      <c r="DY13" s="70" t="e">
        <f t="shared" si="5"/>
        <v>#VALUE!</v>
      </c>
      <c r="DZ13" s="70" t="e">
        <f t="shared" si="5"/>
        <v>#VALUE!</v>
      </c>
      <c r="EA13" s="70" t="e">
        <f t="shared" si="5"/>
        <v>#VALUE!</v>
      </c>
      <c r="EB13" s="70" t="e">
        <f t="shared" si="5"/>
        <v>#VALUE!</v>
      </c>
      <c r="EC13" s="70" t="e">
        <f t="shared" si="5"/>
        <v>#VALUE!</v>
      </c>
      <c r="ED13" s="70" t="e">
        <f t="shared" si="5"/>
        <v>#VALUE!</v>
      </c>
      <c r="EE13" s="70" t="e">
        <f t="shared" si="5"/>
        <v>#VALUE!</v>
      </c>
      <c r="EF13" s="70" t="e">
        <f t="shared" si="5"/>
        <v>#VALUE!</v>
      </c>
      <c r="EG13" s="70" t="e">
        <f t="shared" si="5"/>
        <v>#VALUE!</v>
      </c>
      <c r="EH13" s="70" t="e">
        <f t="shared" si="5"/>
        <v>#VALUE!</v>
      </c>
      <c r="EI13" s="70" t="e">
        <f t="shared" si="5"/>
        <v>#VALUE!</v>
      </c>
      <c r="EJ13" s="70" t="e">
        <f t="shared" si="5"/>
        <v>#VALUE!</v>
      </c>
      <c r="EK13" s="70" t="e">
        <f t="shared" si="5"/>
        <v>#VALUE!</v>
      </c>
      <c r="EL13" s="70" t="e">
        <f t="shared" si="5"/>
        <v>#VALUE!</v>
      </c>
      <c r="EM13" s="70" t="e">
        <f t="shared" si="5"/>
        <v>#VALUE!</v>
      </c>
      <c r="EN13" s="70" t="e">
        <f t="shared" si="5"/>
        <v>#VALUE!</v>
      </c>
      <c r="EO13" s="70" t="e">
        <f t="shared" si="5"/>
        <v>#VALUE!</v>
      </c>
      <c r="EP13" s="73" t="e">
        <f t="shared" si="5"/>
        <v>#VALUE!</v>
      </c>
      <c r="EQ13" s="72" t="e">
        <f>SUM(EQ8:EQ12)</f>
        <v>#VALUE!</v>
      </c>
      <c r="ER13" s="70" t="e">
        <f>SUM(ER8:ER12)</f>
        <v>#VALUE!</v>
      </c>
      <c r="ES13" s="70" t="e">
        <f t="shared" ref="ES13:FN13" si="6">SUM(ES8:ES12)</f>
        <v>#VALUE!</v>
      </c>
      <c r="ET13" s="70" t="e">
        <f t="shared" si="6"/>
        <v>#VALUE!</v>
      </c>
      <c r="EU13" s="70" t="e">
        <f t="shared" si="6"/>
        <v>#VALUE!</v>
      </c>
      <c r="EV13" s="70" t="e">
        <f t="shared" si="6"/>
        <v>#VALUE!</v>
      </c>
      <c r="EW13" s="70" t="e">
        <f t="shared" si="6"/>
        <v>#VALUE!</v>
      </c>
      <c r="EX13" s="70" t="e">
        <f t="shared" si="6"/>
        <v>#VALUE!</v>
      </c>
      <c r="EY13" s="70" t="e">
        <f t="shared" si="6"/>
        <v>#VALUE!</v>
      </c>
      <c r="EZ13" s="70" t="e">
        <f t="shared" si="6"/>
        <v>#VALUE!</v>
      </c>
      <c r="FA13" s="70" t="e">
        <f t="shared" si="6"/>
        <v>#VALUE!</v>
      </c>
      <c r="FB13" s="70" t="e">
        <f t="shared" si="6"/>
        <v>#VALUE!</v>
      </c>
      <c r="FC13" s="70" t="e">
        <f t="shared" si="6"/>
        <v>#VALUE!</v>
      </c>
      <c r="FD13" s="70" t="e">
        <f t="shared" si="6"/>
        <v>#VALUE!</v>
      </c>
      <c r="FE13" s="70" t="e">
        <f t="shared" si="6"/>
        <v>#VALUE!</v>
      </c>
      <c r="FF13" s="70" t="e">
        <f t="shared" si="6"/>
        <v>#VALUE!</v>
      </c>
      <c r="FG13" s="70" t="e">
        <f t="shared" si="6"/>
        <v>#VALUE!</v>
      </c>
      <c r="FH13" s="70" t="e">
        <f t="shared" si="6"/>
        <v>#VALUE!</v>
      </c>
      <c r="FI13" s="70" t="e">
        <f t="shared" si="6"/>
        <v>#VALUE!</v>
      </c>
      <c r="FJ13" s="70" t="e">
        <f t="shared" si="6"/>
        <v>#VALUE!</v>
      </c>
      <c r="FK13" s="70" t="e">
        <f t="shared" si="6"/>
        <v>#VALUE!</v>
      </c>
      <c r="FL13" s="70" t="e">
        <f t="shared" si="6"/>
        <v>#VALUE!</v>
      </c>
      <c r="FM13" s="70" t="e">
        <f t="shared" si="6"/>
        <v>#VALUE!</v>
      </c>
      <c r="FN13" s="73" t="e">
        <f t="shared" si="6"/>
        <v>#VALUE!</v>
      </c>
      <c r="FO13" s="72" t="e">
        <f>SUM(FO8:FO12)</f>
        <v>#VALUE!</v>
      </c>
      <c r="FP13" s="70" t="e">
        <f>SUM(FP8:FP12)</f>
        <v>#VALUE!</v>
      </c>
      <c r="FQ13" s="70" t="e">
        <f t="shared" ref="FQ13:GL13" si="7">SUM(FQ8:FQ12)</f>
        <v>#VALUE!</v>
      </c>
      <c r="FR13" s="70" t="e">
        <f t="shared" si="7"/>
        <v>#VALUE!</v>
      </c>
      <c r="FS13" s="70" t="e">
        <f t="shared" si="7"/>
        <v>#VALUE!</v>
      </c>
      <c r="FT13" s="70" t="e">
        <f t="shared" si="7"/>
        <v>#VALUE!</v>
      </c>
      <c r="FU13" s="70" t="e">
        <f t="shared" si="7"/>
        <v>#VALUE!</v>
      </c>
      <c r="FV13" s="70" t="e">
        <f t="shared" si="7"/>
        <v>#VALUE!</v>
      </c>
      <c r="FW13" s="70" t="e">
        <f t="shared" si="7"/>
        <v>#VALUE!</v>
      </c>
      <c r="FX13" s="70" t="e">
        <f t="shared" si="7"/>
        <v>#VALUE!</v>
      </c>
      <c r="FY13" s="70" t="e">
        <f t="shared" si="7"/>
        <v>#VALUE!</v>
      </c>
      <c r="FZ13" s="70" t="e">
        <f t="shared" si="7"/>
        <v>#VALUE!</v>
      </c>
      <c r="GA13" s="70" t="e">
        <f t="shared" si="7"/>
        <v>#VALUE!</v>
      </c>
      <c r="GB13" s="70" t="e">
        <f t="shared" si="7"/>
        <v>#VALUE!</v>
      </c>
      <c r="GC13" s="70" t="e">
        <f t="shared" si="7"/>
        <v>#VALUE!</v>
      </c>
      <c r="GD13" s="70" t="e">
        <f t="shared" si="7"/>
        <v>#VALUE!</v>
      </c>
      <c r="GE13" s="70" t="e">
        <f t="shared" si="7"/>
        <v>#VALUE!</v>
      </c>
      <c r="GF13" s="70" t="e">
        <f t="shared" si="7"/>
        <v>#VALUE!</v>
      </c>
      <c r="GG13" s="70" t="e">
        <f t="shared" si="7"/>
        <v>#VALUE!</v>
      </c>
      <c r="GH13" s="70" t="e">
        <f t="shared" si="7"/>
        <v>#VALUE!</v>
      </c>
      <c r="GI13" s="70" t="e">
        <f t="shared" si="7"/>
        <v>#VALUE!</v>
      </c>
      <c r="GJ13" s="70" t="e">
        <f t="shared" si="7"/>
        <v>#VALUE!</v>
      </c>
      <c r="GK13" s="70" t="e">
        <f t="shared" si="7"/>
        <v>#VALUE!</v>
      </c>
      <c r="GL13" s="73" t="e">
        <f t="shared" si="7"/>
        <v>#VALUE!</v>
      </c>
      <c r="GM13" s="72">
        <f>SUM(GM8:GM12)</f>
        <v>0</v>
      </c>
      <c r="GN13" s="70">
        <f>SUM(GN8:GN12)</f>
        <v>0</v>
      </c>
      <c r="GO13" s="70">
        <f t="shared" ref="GO13:HJ13" si="8">SUM(GO8:GO12)</f>
        <v>0</v>
      </c>
      <c r="GP13" s="70">
        <f t="shared" si="8"/>
        <v>0</v>
      </c>
      <c r="GQ13" s="70">
        <f t="shared" si="8"/>
        <v>0</v>
      </c>
      <c r="GR13" s="70">
        <f t="shared" si="8"/>
        <v>0</v>
      </c>
      <c r="GS13" s="70">
        <f t="shared" si="8"/>
        <v>0</v>
      </c>
      <c r="GT13" s="70">
        <f t="shared" si="8"/>
        <v>0</v>
      </c>
      <c r="GU13" s="70" t="e">
        <f t="shared" si="8"/>
        <v>#VALUE!</v>
      </c>
      <c r="GV13" s="70" t="e">
        <f t="shared" si="8"/>
        <v>#VALUE!</v>
      </c>
      <c r="GW13" s="70">
        <f t="shared" si="8"/>
        <v>0</v>
      </c>
      <c r="GX13" s="70">
        <f t="shared" si="8"/>
        <v>0</v>
      </c>
      <c r="GY13" s="70">
        <f t="shared" si="8"/>
        <v>0</v>
      </c>
      <c r="GZ13" s="70">
        <f t="shared" si="8"/>
        <v>0</v>
      </c>
      <c r="HA13" s="70">
        <f t="shared" si="8"/>
        <v>0</v>
      </c>
      <c r="HB13" s="70">
        <f t="shared" si="8"/>
        <v>0</v>
      </c>
      <c r="HC13" s="70">
        <f t="shared" si="8"/>
        <v>0</v>
      </c>
      <c r="HD13" s="70">
        <f t="shared" si="8"/>
        <v>0</v>
      </c>
      <c r="HE13" s="70">
        <f t="shared" si="8"/>
        <v>0</v>
      </c>
      <c r="HF13" s="70">
        <f t="shared" si="8"/>
        <v>0</v>
      </c>
      <c r="HG13" s="70">
        <f t="shared" si="8"/>
        <v>0</v>
      </c>
      <c r="HH13" s="70">
        <f t="shared" si="8"/>
        <v>0</v>
      </c>
      <c r="HI13" s="70">
        <f t="shared" si="8"/>
        <v>0</v>
      </c>
      <c r="HJ13" s="73">
        <f t="shared" si="8"/>
        <v>0</v>
      </c>
      <c r="HK13" s="72">
        <f>SUM(HK8:HK12)</f>
        <v>0</v>
      </c>
      <c r="HL13" s="70">
        <f>SUM(HL8:HL12)</f>
        <v>0</v>
      </c>
      <c r="HM13" s="70">
        <f t="shared" ref="HM13:IH13" si="9">SUM(HM8:HM12)</f>
        <v>0</v>
      </c>
      <c r="HN13" s="70">
        <f t="shared" si="9"/>
        <v>0</v>
      </c>
      <c r="HO13" s="70">
        <f t="shared" si="9"/>
        <v>0</v>
      </c>
      <c r="HP13" s="70">
        <f t="shared" si="9"/>
        <v>0</v>
      </c>
      <c r="HQ13" s="70">
        <f t="shared" si="9"/>
        <v>0</v>
      </c>
      <c r="HR13" s="70">
        <f t="shared" si="9"/>
        <v>0</v>
      </c>
      <c r="HS13" s="70" t="e">
        <f t="shared" si="9"/>
        <v>#VALUE!</v>
      </c>
      <c r="HT13" s="70" t="e">
        <f t="shared" si="9"/>
        <v>#VALUE!</v>
      </c>
      <c r="HU13" s="70" t="e">
        <f t="shared" si="9"/>
        <v>#VALUE!</v>
      </c>
      <c r="HV13" s="70" t="e">
        <f t="shared" si="9"/>
        <v>#VALUE!</v>
      </c>
      <c r="HW13" s="70">
        <f t="shared" si="9"/>
        <v>0</v>
      </c>
      <c r="HX13" s="70">
        <f t="shared" si="9"/>
        <v>0</v>
      </c>
      <c r="HY13" s="70">
        <f t="shared" si="9"/>
        <v>0</v>
      </c>
      <c r="HZ13" s="70">
        <f t="shared" si="9"/>
        <v>0</v>
      </c>
      <c r="IA13" s="70">
        <f t="shared" si="9"/>
        <v>0</v>
      </c>
      <c r="IB13" s="70">
        <f t="shared" si="9"/>
        <v>0</v>
      </c>
      <c r="IC13" s="70">
        <f t="shared" si="9"/>
        <v>0</v>
      </c>
      <c r="ID13" s="70">
        <f t="shared" si="9"/>
        <v>0</v>
      </c>
      <c r="IE13" s="70">
        <f t="shared" si="9"/>
        <v>0</v>
      </c>
      <c r="IF13" s="70">
        <f t="shared" si="9"/>
        <v>0</v>
      </c>
      <c r="IG13" s="70">
        <f t="shared" si="9"/>
        <v>0</v>
      </c>
      <c r="IH13" s="73">
        <f t="shared" si="9"/>
        <v>0</v>
      </c>
      <c r="II13" s="72">
        <f>SUM(II8:II12)</f>
        <v>0</v>
      </c>
      <c r="IJ13" s="70">
        <f>SUM(IJ8:IJ12)</f>
        <v>0</v>
      </c>
      <c r="IK13" s="70">
        <f t="shared" ref="IK13:JF13" si="10">SUM(IK8:IK12)</f>
        <v>0</v>
      </c>
      <c r="IL13" s="70">
        <f t="shared" si="10"/>
        <v>0</v>
      </c>
      <c r="IM13" s="70">
        <f t="shared" si="10"/>
        <v>0</v>
      </c>
      <c r="IN13" s="70">
        <f t="shared" si="10"/>
        <v>0</v>
      </c>
      <c r="IO13" s="70">
        <f t="shared" si="10"/>
        <v>0</v>
      </c>
      <c r="IP13" s="70">
        <f t="shared" si="10"/>
        <v>0</v>
      </c>
      <c r="IQ13" s="70" t="e">
        <f t="shared" si="10"/>
        <v>#VALUE!</v>
      </c>
      <c r="IR13" s="70" t="e">
        <f t="shared" si="10"/>
        <v>#VALUE!</v>
      </c>
      <c r="IS13" s="70">
        <f t="shared" si="10"/>
        <v>0</v>
      </c>
      <c r="IT13" s="70" t="e">
        <f t="shared" si="10"/>
        <v>#VALUE!</v>
      </c>
      <c r="IU13" s="70" t="e">
        <f t="shared" si="10"/>
        <v>#VALUE!</v>
      </c>
      <c r="IV13" s="70" t="e">
        <f t="shared" si="10"/>
        <v>#VALUE!</v>
      </c>
      <c r="IW13" s="70">
        <f t="shared" si="10"/>
        <v>0</v>
      </c>
      <c r="IX13" s="70">
        <f t="shared" si="10"/>
        <v>0</v>
      </c>
      <c r="IY13" s="70">
        <f t="shared" si="10"/>
        <v>0</v>
      </c>
      <c r="IZ13" s="70">
        <f t="shared" si="10"/>
        <v>0</v>
      </c>
      <c r="JA13" s="70">
        <f t="shared" si="10"/>
        <v>0</v>
      </c>
      <c r="JB13" s="70">
        <f t="shared" si="10"/>
        <v>0</v>
      </c>
      <c r="JC13" s="70">
        <f t="shared" si="10"/>
        <v>0</v>
      </c>
      <c r="JD13" s="70">
        <f t="shared" si="10"/>
        <v>0</v>
      </c>
      <c r="JE13" s="70">
        <f t="shared" si="10"/>
        <v>0</v>
      </c>
      <c r="JF13" s="73">
        <f t="shared" si="10"/>
        <v>0</v>
      </c>
      <c r="JG13" s="72">
        <f>SUM(JG8:JG12)</f>
        <v>0</v>
      </c>
      <c r="JH13" s="70">
        <f>SUM(JH8:JH12)</f>
        <v>0</v>
      </c>
      <c r="JI13" s="70">
        <f t="shared" ref="JI13:KD13" si="11">SUM(JI8:JI12)</f>
        <v>0</v>
      </c>
      <c r="JJ13" s="70">
        <f t="shared" si="11"/>
        <v>0</v>
      </c>
      <c r="JK13" s="70">
        <f t="shared" si="11"/>
        <v>0</v>
      </c>
      <c r="JL13" s="70">
        <f t="shared" si="11"/>
        <v>0</v>
      </c>
      <c r="JM13" s="70">
        <f t="shared" si="11"/>
        <v>0</v>
      </c>
      <c r="JN13" s="70">
        <f t="shared" si="11"/>
        <v>0</v>
      </c>
      <c r="JO13" s="70" t="e">
        <f t="shared" si="11"/>
        <v>#VALUE!</v>
      </c>
      <c r="JP13" s="70" t="e">
        <f t="shared" si="11"/>
        <v>#VALUE!</v>
      </c>
      <c r="JQ13" s="70">
        <f t="shared" si="11"/>
        <v>0</v>
      </c>
      <c r="JR13" s="70" t="e">
        <f t="shared" si="11"/>
        <v>#VALUE!</v>
      </c>
      <c r="JS13" s="70">
        <f t="shared" si="11"/>
        <v>0</v>
      </c>
      <c r="JT13" s="70">
        <f t="shared" si="11"/>
        <v>0</v>
      </c>
      <c r="JU13" s="70" t="e">
        <f t="shared" si="11"/>
        <v>#VALUE!</v>
      </c>
      <c r="JV13" s="70" t="e">
        <f t="shared" si="11"/>
        <v>#VALUE!</v>
      </c>
      <c r="JW13" s="70">
        <f t="shared" si="11"/>
        <v>0</v>
      </c>
      <c r="JX13" s="70">
        <f t="shared" si="11"/>
        <v>0</v>
      </c>
      <c r="JY13" s="70">
        <f t="shared" si="11"/>
        <v>0</v>
      </c>
      <c r="JZ13" s="70">
        <f t="shared" si="11"/>
        <v>0</v>
      </c>
      <c r="KA13" s="70">
        <f t="shared" si="11"/>
        <v>0</v>
      </c>
      <c r="KB13" s="70">
        <f t="shared" si="11"/>
        <v>0</v>
      </c>
      <c r="KC13" s="70">
        <f t="shared" si="11"/>
        <v>0</v>
      </c>
      <c r="KD13" s="73">
        <f t="shared" si="11"/>
        <v>0</v>
      </c>
      <c r="KE13" s="72">
        <f>SUM(KE8:KE12)</f>
        <v>0</v>
      </c>
      <c r="KF13" s="70">
        <f>SUM(KF8:KF12)</f>
        <v>0</v>
      </c>
      <c r="KG13" s="70">
        <f t="shared" ref="KG13:LB13" si="12">SUM(KG8:KG12)</f>
        <v>0</v>
      </c>
      <c r="KH13" s="70">
        <f t="shared" si="12"/>
        <v>0</v>
      </c>
      <c r="KI13" s="70">
        <f t="shared" si="12"/>
        <v>0</v>
      </c>
      <c r="KJ13" s="70">
        <f t="shared" si="12"/>
        <v>0</v>
      </c>
      <c r="KK13" s="70">
        <f t="shared" si="12"/>
        <v>0</v>
      </c>
      <c r="KL13" s="70">
        <f t="shared" si="12"/>
        <v>0</v>
      </c>
      <c r="KM13" s="70" t="e">
        <f t="shared" si="12"/>
        <v>#VALUE!</v>
      </c>
      <c r="KN13" s="70" t="e">
        <f t="shared" si="12"/>
        <v>#VALUE!</v>
      </c>
      <c r="KO13" s="70">
        <f t="shared" si="12"/>
        <v>0</v>
      </c>
      <c r="KP13" s="70" t="e">
        <f t="shared" si="12"/>
        <v>#VALUE!</v>
      </c>
      <c r="KQ13" s="70">
        <f t="shared" si="12"/>
        <v>0</v>
      </c>
      <c r="KR13" s="70">
        <f t="shared" si="12"/>
        <v>0</v>
      </c>
      <c r="KS13" s="70">
        <f t="shared" si="12"/>
        <v>0</v>
      </c>
      <c r="KT13" s="70">
        <f t="shared" si="12"/>
        <v>0</v>
      </c>
      <c r="KU13" s="70" t="e">
        <f t="shared" si="12"/>
        <v>#VALUE!</v>
      </c>
      <c r="KV13" s="70" t="e">
        <f t="shared" si="12"/>
        <v>#VALUE!</v>
      </c>
      <c r="KW13" s="70">
        <f t="shared" si="12"/>
        <v>0</v>
      </c>
      <c r="KX13" s="70">
        <f t="shared" si="12"/>
        <v>0</v>
      </c>
      <c r="KY13" s="70">
        <f t="shared" si="12"/>
        <v>0</v>
      </c>
      <c r="KZ13" s="70">
        <f t="shared" si="12"/>
        <v>0</v>
      </c>
      <c r="LA13" s="70">
        <f t="shared" si="12"/>
        <v>0</v>
      </c>
      <c r="LB13" s="73">
        <f t="shared" si="12"/>
        <v>0</v>
      </c>
      <c r="LC13" s="72">
        <f>SUM(LC8:LC12)</f>
        <v>0</v>
      </c>
      <c r="LD13" s="70">
        <f>SUM(LD8:LD12)</f>
        <v>0</v>
      </c>
      <c r="LE13" s="70">
        <f t="shared" ref="LE13:LZ13" si="13">SUM(LE8:LE12)</f>
        <v>0</v>
      </c>
      <c r="LF13" s="70">
        <f t="shared" si="13"/>
        <v>0</v>
      </c>
      <c r="LG13" s="70">
        <f t="shared" si="13"/>
        <v>0</v>
      </c>
      <c r="LH13" s="70">
        <f t="shared" si="13"/>
        <v>0</v>
      </c>
      <c r="LI13" s="70">
        <f t="shared" si="13"/>
        <v>0</v>
      </c>
      <c r="LJ13" s="70">
        <f t="shared" si="13"/>
        <v>0</v>
      </c>
      <c r="LK13" s="70" t="e">
        <f t="shared" si="13"/>
        <v>#VALUE!</v>
      </c>
      <c r="LL13" s="70" t="e">
        <f t="shared" si="13"/>
        <v>#VALUE!</v>
      </c>
      <c r="LM13" s="70">
        <f t="shared" si="13"/>
        <v>0</v>
      </c>
      <c r="LN13" s="70" t="e">
        <f t="shared" si="13"/>
        <v>#VALUE!</v>
      </c>
      <c r="LO13" s="70">
        <f t="shared" si="13"/>
        <v>0</v>
      </c>
      <c r="LP13" s="70">
        <f t="shared" si="13"/>
        <v>0</v>
      </c>
      <c r="LQ13" s="70">
        <f t="shared" si="13"/>
        <v>0</v>
      </c>
      <c r="LR13" s="70">
        <f t="shared" si="13"/>
        <v>0</v>
      </c>
      <c r="LS13" s="70">
        <f t="shared" si="13"/>
        <v>0</v>
      </c>
      <c r="LT13" s="70">
        <f t="shared" si="13"/>
        <v>0</v>
      </c>
      <c r="LU13" s="70" t="e">
        <f t="shared" si="13"/>
        <v>#VALUE!</v>
      </c>
      <c r="LV13" s="70" t="e">
        <f t="shared" si="13"/>
        <v>#VALUE!</v>
      </c>
      <c r="LW13" s="70">
        <f t="shared" si="13"/>
        <v>0</v>
      </c>
      <c r="LX13" s="70">
        <f t="shared" si="13"/>
        <v>0</v>
      </c>
      <c r="LY13" s="70">
        <f t="shared" si="13"/>
        <v>0</v>
      </c>
      <c r="LZ13" s="73">
        <f t="shared" si="13"/>
        <v>0</v>
      </c>
      <c r="MA13" s="72">
        <f>SUM(MA8:MA12)</f>
        <v>0</v>
      </c>
      <c r="MB13" s="70">
        <f>SUM(MB8:MB12)</f>
        <v>0</v>
      </c>
      <c r="MC13" s="70">
        <f t="shared" ref="MC13:MX13" si="14">SUM(MC8:MC12)</f>
        <v>0</v>
      </c>
      <c r="MD13" s="70">
        <f t="shared" si="14"/>
        <v>0</v>
      </c>
      <c r="ME13" s="70">
        <f t="shared" si="14"/>
        <v>0</v>
      </c>
      <c r="MF13" s="70">
        <f t="shared" si="14"/>
        <v>0</v>
      </c>
      <c r="MG13" s="70">
        <f t="shared" si="14"/>
        <v>0</v>
      </c>
      <c r="MH13" s="70">
        <f t="shared" si="14"/>
        <v>0</v>
      </c>
      <c r="MI13" s="70" t="e">
        <f t="shared" si="14"/>
        <v>#VALUE!</v>
      </c>
      <c r="MJ13" s="70" t="e">
        <f t="shared" si="14"/>
        <v>#VALUE!</v>
      </c>
      <c r="MK13" s="70">
        <f t="shared" si="14"/>
        <v>0</v>
      </c>
      <c r="ML13" s="70" t="e">
        <f t="shared" si="14"/>
        <v>#VALUE!</v>
      </c>
      <c r="MM13" s="70">
        <f t="shared" si="14"/>
        <v>0</v>
      </c>
      <c r="MN13" s="70">
        <f t="shared" si="14"/>
        <v>0</v>
      </c>
      <c r="MO13" s="70">
        <f t="shared" si="14"/>
        <v>0</v>
      </c>
      <c r="MP13" s="70">
        <f t="shared" si="14"/>
        <v>0</v>
      </c>
      <c r="MQ13" s="70">
        <f t="shared" si="14"/>
        <v>0</v>
      </c>
      <c r="MR13" s="70">
        <f t="shared" si="14"/>
        <v>0</v>
      </c>
      <c r="MS13" s="70">
        <f t="shared" si="14"/>
        <v>0</v>
      </c>
      <c r="MT13" s="70">
        <f t="shared" si="14"/>
        <v>0</v>
      </c>
      <c r="MU13" s="70" t="e">
        <f t="shared" si="14"/>
        <v>#VALUE!</v>
      </c>
      <c r="MV13" s="70" t="e">
        <f t="shared" si="14"/>
        <v>#VALUE!</v>
      </c>
      <c r="MW13" s="70">
        <f t="shared" si="14"/>
        <v>0</v>
      </c>
      <c r="MX13" s="73">
        <f t="shared" si="14"/>
        <v>0</v>
      </c>
      <c r="MY13" s="72">
        <f>SUM(MY8:MY12)</f>
        <v>0</v>
      </c>
      <c r="MZ13" s="70">
        <f>SUM(MZ8:MZ12)</f>
        <v>0</v>
      </c>
      <c r="NA13" s="70">
        <f t="shared" ref="NA13:NV13" si="15">SUM(NA8:NA12)</f>
        <v>0</v>
      </c>
      <c r="NB13" s="70">
        <f t="shared" si="15"/>
        <v>0</v>
      </c>
      <c r="NC13" s="70">
        <f t="shared" si="15"/>
        <v>0</v>
      </c>
      <c r="ND13" s="70">
        <f t="shared" si="15"/>
        <v>0</v>
      </c>
      <c r="NE13" s="70">
        <f t="shared" si="15"/>
        <v>0</v>
      </c>
      <c r="NF13" s="70">
        <f t="shared" si="15"/>
        <v>0</v>
      </c>
      <c r="NG13" s="70">
        <f t="shared" si="15"/>
        <v>0</v>
      </c>
      <c r="NH13" s="70">
        <f t="shared" si="15"/>
        <v>0</v>
      </c>
      <c r="NI13" s="70">
        <f t="shared" si="15"/>
        <v>0</v>
      </c>
      <c r="NJ13" s="70">
        <f t="shared" si="15"/>
        <v>0</v>
      </c>
      <c r="NK13" s="70">
        <f t="shared" si="15"/>
        <v>0</v>
      </c>
      <c r="NL13" s="70">
        <f t="shared" si="15"/>
        <v>0</v>
      </c>
      <c r="NM13" s="70">
        <f t="shared" si="15"/>
        <v>0</v>
      </c>
      <c r="NN13" s="70">
        <f t="shared" si="15"/>
        <v>0</v>
      </c>
      <c r="NO13" s="70">
        <f t="shared" si="15"/>
        <v>0</v>
      </c>
      <c r="NP13" s="70">
        <f t="shared" si="15"/>
        <v>0</v>
      </c>
      <c r="NQ13" s="70">
        <f t="shared" si="15"/>
        <v>0</v>
      </c>
      <c r="NR13" s="70">
        <f t="shared" si="15"/>
        <v>0</v>
      </c>
      <c r="NS13" s="70">
        <f t="shared" si="15"/>
        <v>0</v>
      </c>
      <c r="NT13" s="70">
        <f t="shared" si="15"/>
        <v>0</v>
      </c>
      <c r="NU13" s="70">
        <f t="shared" si="15"/>
        <v>0</v>
      </c>
      <c r="NV13" s="73">
        <f t="shared" si="15"/>
        <v>0</v>
      </c>
      <c r="NW13" s="72">
        <f>SUM(NW8:NW12)</f>
        <v>0</v>
      </c>
      <c r="NX13" s="70">
        <f>SUM(NX8:NX12)</f>
        <v>0</v>
      </c>
      <c r="NY13" s="70">
        <f t="shared" ref="NY13:OT13" si="16">SUM(NY8:NY12)</f>
        <v>0</v>
      </c>
      <c r="NZ13" s="70">
        <f t="shared" si="16"/>
        <v>0</v>
      </c>
      <c r="OA13" s="70">
        <f t="shared" si="16"/>
        <v>0</v>
      </c>
      <c r="OB13" s="70">
        <f t="shared" si="16"/>
        <v>0</v>
      </c>
      <c r="OC13" s="70">
        <f t="shared" si="16"/>
        <v>0</v>
      </c>
      <c r="OD13" s="70">
        <f t="shared" si="16"/>
        <v>0</v>
      </c>
      <c r="OE13" s="70">
        <f t="shared" si="16"/>
        <v>0</v>
      </c>
      <c r="OF13" s="70">
        <f t="shared" si="16"/>
        <v>0</v>
      </c>
      <c r="OG13" s="70">
        <f t="shared" si="16"/>
        <v>0</v>
      </c>
      <c r="OH13" s="70">
        <f t="shared" si="16"/>
        <v>0</v>
      </c>
      <c r="OI13" s="70">
        <f t="shared" si="16"/>
        <v>0</v>
      </c>
      <c r="OJ13" s="70">
        <f t="shared" si="16"/>
        <v>0</v>
      </c>
      <c r="OK13" s="70">
        <f t="shared" si="16"/>
        <v>0</v>
      </c>
      <c r="OL13" s="70">
        <f t="shared" si="16"/>
        <v>0</v>
      </c>
      <c r="OM13" s="70">
        <f t="shared" si="16"/>
        <v>0</v>
      </c>
      <c r="ON13" s="70">
        <f t="shared" si="16"/>
        <v>0</v>
      </c>
      <c r="OO13" s="70">
        <f t="shared" si="16"/>
        <v>0</v>
      </c>
      <c r="OP13" s="70">
        <f t="shared" si="16"/>
        <v>0</v>
      </c>
      <c r="OQ13" s="70">
        <f t="shared" si="16"/>
        <v>0</v>
      </c>
      <c r="OR13" s="70">
        <f t="shared" si="16"/>
        <v>0</v>
      </c>
      <c r="OS13" s="70">
        <f t="shared" si="16"/>
        <v>0</v>
      </c>
      <c r="OT13" s="73">
        <f t="shared" si="16"/>
        <v>0</v>
      </c>
      <c r="OU13" s="72">
        <f>SUM(OU8:OU12)</f>
        <v>0</v>
      </c>
      <c r="OV13" s="70">
        <f>SUM(OV8:OV12)</f>
        <v>0</v>
      </c>
      <c r="OW13" s="70">
        <f t="shared" ref="OW13:PR13" si="17">SUM(OW8:OW12)</f>
        <v>0</v>
      </c>
      <c r="OX13" s="70">
        <f t="shared" si="17"/>
        <v>0</v>
      </c>
      <c r="OY13" s="70">
        <f t="shared" si="17"/>
        <v>0</v>
      </c>
      <c r="OZ13" s="70">
        <f t="shared" si="17"/>
        <v>0</v>
      </c>
      <c r="PA13" s="70">
        <f t="shared" si="17"/>
        <v>0</v>
      </c>
      <c r="PB13" s="70">
        <f t="shared" si="17"/>
        <v>0</v>
      </c>
      <c r="PC13" s="70">
        <f t="shared" si="17"/>
        <v>0</v>
      </c>
      <c r="PD13" s="70">
        <f t="shared" si="17"/>
        <v>0</v>
      </c>
      <c r="PE13" s="70">
        <f t="shared" si="17"/>
        <v>0</v>
      </c>
      <c r="PF13" s="70">
        <f t="shared" si="17"/>
        <v>0</v>
      </c>
      <c r="PG13" s="70">
        <f t="shared" si="17"/>
        <v>0</v>
      </c>
      <c r="PH13" s="70">
        <f t="shared" si="17"/>
        <v>0</v>
      </c>
      <c r="PI13" s="70">
        <f t="shared" si="17"/>
        <v>0</v>
      </c>
      <c r="PJ13" s="70">
        <f t="shared" si="17"/>
        <v>0</v>
      </c>
      <c r="PK13" s="70">
        <f t="shared" si="17"/>
        <v>0</v>
      </c>
      <c r="PL13" s="70">
        <f t="shared" si="17"/>
        <v>0</v>
      </c>
      <c r="PM13" s="70">
        <f t="shared" si="17"/>
        <v>0</v>
      </c>
      <c r="PN13" s="70">
        <f t="shared" si="17"/>
        <v>0</v>
      </c>
      <c r="PO13" s="70">
        <f t="shared" si="17"/>
        <v>0</v>
      </c>
      <c r="PP13" s="70">
        <f t="shared" si="17"/>
        <v>0</v>
      </c>
      <c r="PQ13" s="70">
        <f t="shared" si="17"/>
        <v>0</v>
      </c>
      <c r="PR13" s="73">
        <f t="shared" si="17"/>
        <v>0</v>
      </c>
      <c r="PS13" s="72" t="e">
        <f>SUM(PS8:PS12)</f>
        <v>#VALUE!</v>
      </c>
      <c r="PT13" s="70" t="e">
        <f>SUM(PT8:PT12)</f>
        <v>#VALUE!</v>
      </c>
      <c r="PU13" s="70" t="e">
        <f t="shared" ref="PU13:QP13" si="18">SUM(PU8:PU12)</f>
        <v>#VALUE!</v>
      </c>
      <c r="PV13" s="70" t="e">
        <f t="shared" si="18"/>
        <v>#VALUE!</v>
      </c>
      <c r="PW13" s="70" t="e">
        <f t="shared" si="18"/>
        <v>#VALUE!</v>
      </c>
      <c r="PX13" s="70" t="e">
        <f t="shared" si="18"/>
        <v>#VALUE!</v>
      </c>
      <c r="PY13" s="70" t="e">
        <f t="shared" si="18"/>
        <v>#VALUE!</v>
      </c>
      <c r="PZ13" s="70" t="e">
        <f t="shared" si="18"/>
        <v>#VALUE!</v>
      </c>
      <c r="QA13" s="70" t="e">
        <f t="shared" si="18"/>
        <v>#VALUE!</v>
      </c>
      <c r="QB13" s="70" t="e">
        <f t="shared" si="18"/>
        <v>#VALUE!</v>
      </c>
      <c r="QC13" s="70" t="e">
        <f t="shared" si="18"/>
        <v>#VALUE!</v>
      </c>
      <c r="QD13" s="70" t="e">
        <f t="shared" si="18"/>
        <v>#VALUE!</v>
      </c>
      <c r="QE13" s="70" t="e">
        <f t="shared" si="18"/>
        <v>#VALUE!</v>
      </c>
      <c r="QF13" s="70" t="e">
        <f t="shared" si="18"/>
        <v>#VALUE!</v>
      </c>
      <c r="QG13" s="70" t="e">
        <f t="shared" si="18"/>
        <v>#VALUE!</v>
      </c>
      <c r="QH13" s="70" t="e">
        <f t="shared" si="18"/>
        <v>#VALUE!</v>
      </c>
      <c r="QI13" s="70" t="e">
        <f t="shared" si="18"/>
        <v>#VALUE!</v>
      </c>
      <c r="QJ13" s="70" t="e">
        <f t="shared" si="18"/>
        <v>#VALUE!</v>
      </c>
      <c r="QK13" s="70" t="e">
        <f t="shared" si="18"/>
        <v>#VALUE!</v>
      </c>
      <c r="QL13" s="70" t="e">
        <f t="shared" si="18"/>
        <v>#VALUE!</v>
      </c>
      <c r="QM13" s="70" t="e">
        <f t="shared" si="18"/>
        <v>#VALUE!</v>
      </c>
      <c r="QN13" s="70" t="e">
        <f t="shared" si="18"/>
        <v>#VALUE!</v>
      </c>
      <c r="QO13" s="70" t="e">
        <f t="shared" si="18"/>
        <v>#VALUE!</v>
      </c>
      <c r="QP13" s="73" t="e">
        <f t="shared" si="18"/>
        <v>#VALUE!</v>
      </c>
      <c r="QQ13" s="72">
        <f>SUM(QQ8:QQ12)</f>
        <v>0</v>
      </c>
      <c r="QR13" s="70">
        <f>SUM(QR8:QR12)</f>
        <v>0</v>
      </c>
      <c r="QS13" s="70">
        <f t="shared" ref="QS13:RN13" si="19">SUM(QS8:QS12)</f>
        <v>0</v>
      </c>
      <c r="QT13" s="70">
        <f t="shared" si="19"/>
        <v>0</v>
      </c>
      <c r="QU13" s="70">
        <f t="shared" si="19"/>
        <v>0</v>
      </c>
      <c r="QV13" s="70">
        <f t="shared" si="19"/>
        <v>0</v>
      </c>
      <c r="QW13" s="70">
        <f t="shared" si="19"/>
        <v>0</v>
      </c>
      <c r="QX13" s="70">
        <f t="shared" si="19"/>
        <v>0</v>
      </c>
      <c r="QY13" s="70">
        <f t="shared" si="19"/>
        <v>0</v>
      </c>
      <c r="QZ13" s="70">
        <f t="shared" si="19"/>
        <v>0</v>
      </c>
      <c r="RA13" s="70">
        <f t="shared" si="19"/>
        <v>0</v>
      </c>
      <c r="RB13" s="70">
        <f t="shared" si="19"/>
        <v>0</v>
      </c>
      <c r="RC13" s="70">
        <f t="shared" si="19"/>
        <v>0</v>
      </c>
      <c r="RD13" s="70">
        <f t="shared" si="19"/>
        <v>0</v>
      </c>
      <c r="RE13" s="70">
        <f t="shared" si="19"/>
        <v>0</v>
      </c>
      <c r="RF13" s="70">
        <f t="shared" si="19"/>
        <v>0</v>
      </c>
      <c r="RG13" s="70">
        <f t="shared" si="19"/>
        <v>0</v>
      </c>
      <c r="RH13" s="70">
        <f t="shared" si="19"/>
        <v>0</v>
      </c>
      <c r="RI13" s="70">
        <f t="shared" si="19"/>
        <v>0</v>
      </c>
      <c r="RJ13" s="70">
        <f t="shared" si="19"/>
        <v>0</v>
      </c>
      <c r="RK13" s="70">
        <f t="shared" si="19"/>
        <v>0</v>
      </c>
      <c r="RL13" s="70">
        <f t="shared" si="19"/>
        <v>0</v>
      </c>
      <c r="RM13" s="70">
        <f t="shared" si="19"/>
        <v>0</v>
      </c>
      <c r="RN13" s="73">
        <f t="shared" si="19"/>
        <v>0</v>
      </c>
      <c r="RO13" s="72">
        <f>SUM(RO8:RO12)</f>
        <v>0</v>
      </c>
      <c r="RP13" s="70">
        <f>SUM(RP8:RP12)</f>
        <v>0</v>
      </c>
      <c r="RQ13" s="70">
        <f t="shared" ref="RQ13:SL13" si="20">SUM(RQ8:RQ12)</f>
        <v>0</v>
      </c>
      <c r="RR13" s="70">
        <f t="shared" si="20"/>
        <v>0</v>
      </c>
      <c r="RS13" s="70">
        <f t="shared" si="20"/>
        <v>0</v>
      </c>
      <c r="RT13" s="70">
        <f t="shared" si="20"/>
        <v>0</v>
      </c>
      <c r="RU13" s="70">
        <f t="shared" si="20"/>
        <v>0</v>
      </c>
      <c r="RV13" s="70">
        <f t="shared" si="20"/>
        <v>0</v>
      </c>
      <c r="RW13" s="70">
        <f t="shared" si="20"/>
        <v>0</v>
      </c>
      <c r="RX13" s="70">
        <f t="shared" si="20"/>
        <v>0</v>
      </c>
      <c r="RY13" s="70">
        <f t="shared" si="20"/>
        <v>0</v>
      </c>
      <c r="RZ13" s="70">
        <f t="shared" si="20"/>
        <v>0</v>
      </c>
      <c r="SA13" s="70">
        <f t="shared" si="20"/>
        <v>0</v>
      </c>
      <c r="SB13" s="70">
        <f t="shared" si="20"/>
        <v>0</v>
      </c>
      <c r="SC13" s="70">
        <f t="shared" si="20"/>
        <v>0</v>
      </c>
      <c r="SD13" s="70">
        <f t="shared" si="20"/>
        <v>0</v>
      </c>
      <c r="SE13" s="70">
        <f t="shared" si="20"/>
        <v>0</v>
      </c>
      <c r="SF13" s="70">
        <f t="shared" si="20"/>
        <v>0</v>
      </c>
      <c r="SG13" s="70">
        <f t="shared" si="20"/>
        <v>0</v>
      </c>
      <c r="SH13" s="70">
        <f t="shared" si="20"/>
        <v>0</v>
      </c>
      <c r="SI13" s="70">
        <f t="shared" si="20"/>
        <v>0</v>
      </c>
      <c r="SJ13" s="70">
        <f t="shared" si="20"/>
        <v>0</v>
      </c>
      <c r="SK13" s="70">
        <f t="shared" si="20"/>
        <v>0</v>
      </c>
      <c r="SL13" s="73">
        <f t="shared" si="20"/>
        <v>0</v>
      </c>
      <c r="SM13" s="72">
        <f>SUM(SM8:SM12)</f>
        <v>0</v>
      </c>
      <c r="SN13" s="70">
        <f>SUM(SN8:SN12)</f>
        <v>0</v>
      </c>
      <c r="SO13" s="70">
        <f t="shared" ref="SO13:TJ13" si="21">SUM(SO8:SO12)</f>
        <v>0</v>
      </c>
      <c r="SP13" s="70">
        <f t="shared" si="21"/>
        <v>0</v>
      </c>
      <c r="SQ13" s="70">
        <f t="shared" si="21"/>
        <v>0</v>
      </c>
      <c r="SR13" s="70">
        <f t="shared" si="21"/>
        <v>0</v>
      </c>
      <c r="SS13" s="70">
        <f t="shared" si="21"/>
        <v>0</v>
      </c>
      <c r="ST13" s="70">
        <f t="shared" si="21"/>
        <v>0</v>
      </c>
      <c r="SU13" s="70">
        <f t="shared" si="21"/>
        <v>0</v>
      </c>
      <c r="SV13" s="70">
        <f t="shared" si="21"/>
        <v>0</v>
      </c>
      <c r="SW13" s="70">
        <f t="shared" si="21"/>
        <v>0</v>
      </c>
      <c r="SX13" s="70">
        <f t="shared" si="21"/>
        <v>0</v>
      </c>
      <c r="SY13" s="70">
        <f t="shared" si="21"/>
        <v>0</v>
      </c>
      <c r="SZ13" s="70">
        <f t="shared" si="21"/>
        <v>0</v>
      </c>
      <c r="TA13" s="70">
        <f t="shared" si="21"/>
        <v>0</v>
      </c>
      <c r="TB13" s="70">
        <f t="shared" si="21"/>
        <v>0</v>
      </c>
      <c r="TC13" s="70">
        <f t="shared" si="21"/>
        <v>0</v>
      </c>
      <c r="TD13" s="70">
        <f t="shared" si="21"/>
        <v>0</v>
      </c>
      <c r="TE13" s="70">
        <f t="shared" si="21"/>
        <v>0</v>
      </c>
      <c r="TF13" s="70">
        <f t="shared" si="21"/>
        <v>0</v>
      </c>
      <c r="TG13" s="70">
        <f t="shared" si="21"/>
        <v>0</v>
      </c>
      <c r="TH13" s="70">
        <f t="shared" si="21"/>
        <v>0</v>
      </c>
      <c r="TI13" s="70">
        <f t="shared" si="21"/>
        <v>0</v>
      </c>
      <c r="TJ13" s="73">
        <f t="shared" si="21"/>
        <v>0</v>
      </c>
      <c r="TK13" s="72">
        <f>SUM(TK8:TK12)</f>
        <v>0</v>
      </c>
      <c r="TL13" s="70">
        <f>SUM(TL8:TL12)</f>
        <v>0</v>
      </c>
      <c r="TM13" s="70">
        <f t="shared" ref="TM13:UH13" si="22">SUM(TM8:TM12)</f>
        <v>0</v>
      </c>
      <c r="TN13" s="70">
        <f t="shared" si="22"/>
        <v>0</v>
      </c>
      <c r="TO13" s="70">
        <f t="shared" si="22"/>
        <v>0</v>
      </c>
      <c r="TP13" s="70">
        <f t="shared" si="22"/>
        <v>0</v>
      </c>
      <c r="TQ13" s="70">
        <f t="shared" si="22"/>
        <v>0</v>
      </c>
      <c r="TR13" s="70">
        <f t="shared" si="22"/>
        <v>0</v>
      </c>
      <c r="TS13" s="70">
        <f t="shared" si="22"/>
        <v>0</v>
      </c>
      <c r="TT13" s="70">
        <f t="shared" si="22"/>
        <v>0</v>
      </c>
      <c r="TU13" s="70">
        <f t="shared" si="22"/>
        <v>0</v>
      </c>
      <c r="TV13" s="70">
        <f t="shared" si="22"/>
        <v>0</v>
      </c>
      <c r="TW13" s="70">
        <f t="shared" si="22"/>
        <v>0</v>
      </c>
      <c r="TX13" s="70">
        <f t="shared" si="22"/>
        <v>0</v>
      </c>
      <c r="TY13" s="70">
        <f t="shared" si="22"/>
        <v>0</v>
      </c>
      <c r="TZ13" s="70">
        <f t="shared" si="22"/>
        <v>0</v>
      </c>
      <c r="UA13" s="70">
        <f t="shared" si="22"/>
        <v>0</v>
      </c>
      <c r="UB13" s="70">
        <f t="shared" si="22"/>
        <v>0</v>
      </c>
      <c r="UC13" s="70">
        <f t="shared" si="22"/>
        <v>0</v>
      </c>
      <c r="UD13" s="70">
        <f t="shared" si="22"/>
        <v>0</v>
      </c>
      <c r="UE13" s="70">
        <f t="shared" si="22"/>
        <v>0</v>
      </c>
      <c r="UF13" s="70">
        <f t="shared" si="22"/>
        <v>0</v>
      </c>
      <c r="UG13" s="70">
        <f t="shared" si="22"/>
        <v>0</v>
      </c>
      <c r="UH13" s="73">
        <f t="shared" si="22"/>
        <v>0</v>
      </c>
      <c r="UI13" s="72">
        <f>SUM(UI8:UI12)</f>
        <v>0</v>
      </c>
      <c r="UJ13" s="70">
        <f>SUM(UJ8:UJ12)</f>
        <v>0</v>
      </c>
      <c r="UK13" s="70">
        <f t="shared" ref="UK13:VF13" si="23">SUM(UK8:UK12)</f>
        <v>0</v>
      </c>
      <c r="UL13" s="70">
        <f t="shared" si="23"/>
        <v>0</v>
      </c>
      <c r="UM13" s="70">
        <f t="shared" si="23"/>
        <v>0</v>
      </c>
      <c r="UN13" s="70">
        <f t="shared" si="23"/>
        <v>0</v>
      </c>
      <c r="UO13" s="70">
        <f t="shared" si="23"/>
        <v>0</v>
      </c>
      <c r="UP13" s="70">
        <f t="shared" si="23"/>
        <v>0</v>
      </c>
      <c r="UQ13" s="70">
        <f t="shared" si="23"/>
        <v>0</v>
      </c>
      <c r="UR13" s="70">
        <f t="shared" si="23"/>
        <v>0</v>
      </c>
      <c r="US13" s="70">
        <f t="shared" si="23"/>
        <v>0</v>
      </c>
      <c r="UT13" s="70">
        <f t="shared" si="23"/>
        <v>0</v>
      </c>
      <c r="UU13" s="70">
        <f t="shared" si="23"/>
        <v>0</v>
      </c>
      <c r="UV13" s="70">
        <f t="shared" si="23"/>
        <v>0</v>
      </c>
      <c r="UW13" s="70">
        <f t="shared" si="23"/>
        <v>0</v>
      </c>
      <c r="UX13" s="70">
        <f t="shared" si="23"/>
        <v>0</v>
      </c>
      <c r="UY13" s="70">
        <f t="shared" si="23"/>
        <v>0</v>
      </c>
      <c r="UZ13" s="70">
        <f t="shared" si="23"/>
        <v>0</v>
      </c>
      <c r="VA13" s="70">
        <f t="shared" si="23"/>
        <v>0</v>
      </c>
      <c r="VB13" s="70">
        <f t="shared" si="23"/>
        <v>0</v>
      </c>
      <c r="VC13" s="70">
        <f t="shared" si="23"/>
        <v>0</v>
      </c>
      <c r="VD13" s="70">
        <f t="shared" si="23"/>
        <v>0</v>
      </c>
      <c r="VE13" s="70">
        <f t="shared" si="23"/>
        <v>0</v>
      </c>
      <c r="VF13" s="73">
        <f t="shared" si="23"/>
        <v>0</v>
      </c>
      <c r="VG13" s="72">
        <f>SUM(VG8:VG12)</f>
        <v>0</v>
      </c>
      <c r="VH13" s="70">
        <f>SUM(VH8:VH12)</f>
        <v>0</v>
      </c>
      <c r="VI13" s="70">
        <f t="shared" ref="VI13:WD13" si="24">SUM(VI8:VI12)</f>
        <v>0</v>
      </c>
      <c r="VJ13" s="70">
        <f t="shared" si="24"/>
        <v>0</v>
      </c>
      <c r="VK13" s="70">
        <f t="shared" si="24"/>
        <v>0</v>
      </c>
      <c r="VL13" s="70">
        <f t="shared" si="24"/>
        <v>0</v>
      </c>
      <c r="VM13" s="70">
        <f t="shared" si="24"/>
        <v>0</v>
      </c>
      <c r="VN13" s="70">
        <f t="shared" si="24"/>
        <v>0</v>
      </c>
      <c r="VO13" s="70">
        <f t="shared" si="24"/>
        <v>0</v>
      </c>
      <c r="VP13" s="70">
        <f t="shared" si="24"/>
        <v>0</v>
      </c>
      <c r="VQ13" s="70">
        <f t="shared" si="24"/>
        <v>0</v>
      </c>
      <c r="VR13" s="70">
        <f t="shared" si="24"/>
        <v>0</v>
      </c>
      <c r="VS13" s="70">
        <f t="shared" si="24"/>
        <v>0</v>
      </c>
      <c r="VT13" s="70">
        <f t="shared" si="24"/>
        <v>0</v>
      </c>
      <c r="VU13" s="70">
        <f t="shared" si="24"/>
        <v>0</v>
      </c>
      <c r="VV13" s="70">
        <f t="shared" si="24"/>
        <v>0</v>
      </c>
      <c r="VW13" s="70">
        <f t="shared" si="24"/>
        <v>0</v>
      </c>
      <c r="VX13" s="70">
        <f t="shared" si="24"/>
        <v>0</v>
      </c>
      <c r="VY13" s="70">
        <f t="shared" si="24"/>
        <v>0</v>
      </c>
      <c r="VZ13" s="70">
        <f t="shared" si="24"/>
        <v>0</v>
      </c>
      <c r="WA13" s="70">
        <f t="shared" si="24"/>
        <v>0</v>
      </c>
      <c r="WB13" s="70">
        <f t="shared" si="24"/>
        <v>0</v>
      </c>
      <c r="WC13" s="70">
        <f t="shared" si="24"/>
        <v>0</v>
      </c>
      <c r="WD13" s="73">
        <f t="shared" si="24"/>
        <v>0</v>
      </c>
      <c r="WE13" s="72">
        <f>SUM(WE8:WE12)</f>
        <v>0</v>
      </c>
      <c r="WF13" s="70">
        <f>SUM(WF8:WF12)</f>
        <v>0</v>
      </c>
      <c r="WG13" s="70">
        <f t="shared" ref="WG13:XB13" si="25">SUM(WG8:WG12)</f>
        <v>0</v>
      </c>
      <c r="WH13" s="70">
        <f t="shared" si="25"/>
        <v>0</v>
      </c>
      <c r="WI13" s="70">
        <f t="shared" si="25"/>
        <v>0</v>
      </c>
      <c r="WJ13" s="70">
        <f t="shared" si="25"/>
        <v>0</v>
      </c>
      <c r="WK13" s="70">
        <f t="shared" si="25"/>
        <v>0</v>
      </c>
      <c r="WL13" s="70">
        <f t="shared" si="25"/>
        <v>0</v>
      </c>
      <c r="WM13" s="70">
        <f t="shared" si="25"/>
        <v>0</v>
      </c>
      <c r="WN13" s="70">
        <f t="shared" si="25"/>
        <v>0</v>
      </c>
      <c r="WO13" s="70">
        <f t="shared" si="25"/>
        <v>0</v>
      </c>
      <c r="WP13" s="70">
        <f t="shared" si="25"/>
        <v>0</v>
      </c>
      <c r="WQ13" s="70">
        <f t="shared" si="25"/>
        <v>0</v>
      </c>
      <c r="WR13" s="70">
        <f t="shared" si="25"/>
        <v>0</v>
      </c>
      <c r="WS13" s="70">
        <f t="shared" si="25"/>
        <v>0</v>
      </c>
      <c r="WT13" s="70">
        <f t="shared" si="25"/>
        <v>0</v>
      </c>
      <c r="WU13" s="70">
        <f t="shared" si="25"/>
        <v>0</v>
      </c>
      <c r="WV13" s="70">
        <f t="shared" si="25"/>
        <v>0</v>
      </c>
      <c r="WW13" s="70">
        <f t="shared" si="25"/>
        <v>0</v>
      </c>
      <c r="WX13" s="70">
        <f t="shared" si="25"/>
        <v>0</v>
      </c>
      <c r="WY13" s="70">
        <f t="shared" si="25"/>
        <v>0</v>
      </c>
      <c r="WZ13" s="70">
        <f t="shared" si="25"/>
        <v>0</v>
      </c>
      <c r="XA13" s="70">
        <f t="shared" si="25"/>
        <v>0</v>
      </c>
      <c r="XB13" s="73">
        <f t="shared" si="25"/>
        <v>0</v>
      </c>
      <c r="XC13" s="72">
        <f>SUM(XC8:XC12)</f>
        <v>0</v>
      </c>
      <c r="XD13" s="70">
        <f>SUM(XD8:XD12)</f>
        <v>0</v>
      </c>
      <c r="XE13" s="70">
        <f t="shared" ref="XE13:XZ13" si="26">SUM(XE8:XE12)</f>
        <v>0</v>
      </c>
      <c r="XF13" s="70">
        <f t="shared" si="26"/>
        <v>0</v>
      </c>
      <c r="XG13" s="70">
        <f t="shared" si="26"/>
        <v>0</v>
      </c>
      <c r="XH13" s="70">
        <f t="shared" si="26"/>
        <v>0</v>
      </c>
      <c r="XI13" s="70">
        <f t="shared" si="26"/>
        <v>0</v>
      </c>
      <c r="XJ13" s="70">
        <f t="shared" si="26"/>
        <v>0</v>
      </c>
      <c r="XK13" s="70">
        <f t="shared" si="26"/>
        <v>0</v>
      </c>
      <c r="XL13" s="70">
        <f t="shared" si="26"/>
        <v>0</v>
      </c>
      <c r="XM13" s="70">
        <f t="shared" si="26"/>
        <v>0</v>
      </c>
      <c r="XN13" s="70">
        <f t="shared" si="26"/>
        <v>0</v>
      </c>
      <c r="XO13" s="70">
        <f t="shared" si="26"/>
        <v>0</v>
      </c>
      <c r="XP13" s="70">
        <f t="shared" si="26"/>
        <v>0</v>
      </c>
      <c r="XQ13" s="70">
        <f t="shared" si="26"/>
        <v>0</v>
      </c>
      <c r="XR13" s="70">
        <f t="shared" si="26"/>
        <v>0</v>
      </c>
      <c r="XS13" s="70">
        <f t="shared" si="26"/>
        <v>0</v>
      </c>
      <c r="XT13" s="70">
        <f t="shared" si="26"/>
        <v>0</v>
      </c>
      <c r="XU13" s="70">
        <f t="shared" si="26"/>
        <v>0</v>
      </c>
      <c r="XV13" s="70">
        <f t="shared" si="26"/>
        <v>0</v>
      </c>
      <c r="XW13" s="70">
        <f t="shared" si="26"/>
        <v>0</v>
      </c>
      <c r="XX13" s="70">
        <f t="shared" si="26"/>
        <v>0</v>
      </c>
      <c r="XY13" s="70">
        <f t="shared" si="26"/>
        <v>0</v>
      </c>
      <c r="XZ13" s="73">
        <f t="shared" si="26"/>
        <v>0</v>
      </c>
      <c r="YA13" s="72">
        <f>SUM(YA8:YA12)</f>
        <v>0</v>
      </c>
      <c r="YB13" s="70">
        <f>SUM(YB8:YB12)</f>
        <v>0</v>
      </c>
      <c r="YC13" s="70">
        <f t="shared" ref="YC13:YX13" si="27">SUM(YC8:YC12)</f>
        <v>0</v>
      </c>
      <c r="YD13" s="70">
        <f t="shared" si="27"/>
        <v>0</v>
      </c>
      <c r="YE13" s="70">
        <f t="shared" si="27"/>
        <v>0</v>
      </c>
      <c r="YF13" s="70">
        <f t="shared" si="27"/>
        <v>0</v>
      </c>
      <c r="YG13" s="70">
        <f t="shared" si="27"/>
        <v>0</v>
      </c>
      <c r="YH13" s="70">
        <f t="shared" si="27"/>
        <v>0</v>
      </c>
      <c r="YI13" s="70" t="e">
        <f t="shared" si="27"/>
        <v>#VALUE!</v>
      </c>
      <c r="YJ13" s="70" t="e">
        <f t="shared" si="27"/>
        <v>#VALUE!</v>
      </c>
      <c r="YK13" s="70">
        <f t="shared" si="27"/>
        <v>0</v>
      </c>
      <c r="YL13" s="70">
        <f t="shared" si="27"/>
        <v>0</v>
      </c>
      <c r="YM13" s="70" t="e">
        <f t="shared" si="27"/>
        <v>#VALUE!</v>
      </c>
      <c r="YN13" s="70" t="e">
        <f t="shared" si="27"/>
        <v>#VALUE!</v>
      </c>
      <c r="YO13" s="70" t="e">
        <f t="shared" si="27"/>
        <v>#VALUE!</v>
      </c>
      <c r="YP13" s="70" t="e">
        <f t="shared" si="27"/>
        <v>#VALUE!</v>
      </c>
      <c r="YQ13" s="70">
        <f t="shared" si="27"/>
        <v>0</v>
      </c>
      <c r="YR13" s="70">
        <f t="shared" si="27"/>
        <v>0</v>
      </c>
      <c r="YS13" s="70">
        <f t="shared" si="27"/>
        <v>0</v>
      </c>
      <c r="YT13" s="70">
        <f t="shared" si="27"/>
        <v>0</v>
      </c>
      <c r="YU13" s="70">
        <f t="shared" si="27"/>
        <v>0</v>
      </c>
      <c r="YV13" s="70">
        <f t="shared" si="27"/>
        <v>0</v>
      </c>
      <c r="YW13" s="70">
        <f t="shared" si="27"/>
        <v>0</v>
      </c>
      <c r="YX13" s="73">
        <f t="shared" si="27"/>
        <v>0</v>
      </c>
      <c r="YY13" s="72">
        <f>SUM(YY8:YY12)</f>
        <v>0</v>
      </c>
      <c r="YZ13" s="70">
        <f>SUM(YZ8:YZ12)</f>
        <v>0</v>
      </c>
      <c r="ZA13" s="70">
        <f t="shared" ref="ZA13:ZV13" si="28">SUM(ZA8:ZA12)</f>
        <v>0</v>
      </c>
      <c r="ZB13" s="70">
        <f t="shared" si="28"/>
        <v>0</v>
      </c>
      <c r="ZC13" s="70">
        <f t="shared" si="28"/>
        <v>0</v>
      </c>
      <c r="ZD13" s="70">
        <f t="shared" si="28"/>
        <v>0</v>
      </c>
      <c r="ZE13" s="70" t="e">
        <f t="shared" si="28"/>
        <v>#VALUE!</v>
      </c>
      <c r="ZF13" s="70" t="e">
        <f t="shared" si="28"/>
        <v>#VALUE!</v>
      </c>
      <c r="ZG13" s="70">
        <f t="shared" si="28"/>
        <v>0</v>
      </c>
      <c r="ZH13" s="70" t="e">
        <f t="shared" si="28"/>
        <v>#VALUE!</v>
      </c>
      <c r="ZI13" s="70" t="e">
        <f t="shared" si="28"/>
        <v>#VALUE!</v>
      </c>
      <c r="ZJ13" s="70" t="e">
        <f t="shared" si="28"/>
        <v>#VALUE!</v>
      </c>
      <c r="ZK13" s="70" t="e">
        <f t="shared" si="28"/>
        <v>#VALUE!</v>
      </c>
      <c r="ZL13" s="70" t="e">
        <f t="shared" si="28"/>
        <v>#VALUE!</v>
      </c>
      <c r="ZM13" s="70" t="e">
        <f t="shared" si="28"/>
        <v>#VALUE!</v>
      </c>
      <c r="ZN13" s="70" t="e">
        <f t="shared" si="28"/>
        <v>#VALUE!</v>
      </c>
      <c r="ZO13" s="70">
        <f t="shared" si="28"/>
        <v>0</v>
      </c>
      <c r="ZP13" s="70">
        <f t="shared" si="28"/>
        <v>0</v>
      </c>
      <c r="ZQ13" s="70">
        <f t="shared" si="28"/>
        <v>0</v>
      </c>
      <c r="ZR13" s="70">
        <f t="shared" si="28"/>
        <v>0</v>
      </c>
      <c r="ZS13" s="70">
        <f t="shared" si="28"/>
        <v>0</v>
      </c>
      <c r="ZT13" s="70">
        <f t="shared" si="28"/>
        <v>0</v>
      </c>
      <c r="ZU13" s="70">
        <f t="shared" si="28"/>
        <v>0</v>
      </c>
      <c r="ZV13" s="73">
        <f t="shared" si="28"/>
        <v>0</v>
      </c>
      <c r="ZW13" s="72">
        <f>SUM(ZW8:ZW12)</f>
        <v>0</v>
      </c>
      <c r="ZX13" s="70">
        <f>SUM(ZX8:ZX12)</f>
        <v>0</v>
      </c>
      <c r="ZY13" s="70">
        <f t="shared" ref="ZY13:AAT13" si="29">SUM(ZY8:ZY12)</f>
        <v>0</v>
      </c>
      <c r="ZZ13" s="70">
        <f t="shared" si="29"/>
        <v>0</v>
      </c>
      <c r="AAA13" s="70">
        <f t="shared" si="29"/>
        <v>0</v>
      </c>
      <c r="AAB13" s="70">
        <f t="shared" si="29"/>
        <v>0</v>
      </c>
      <c r="AAC13" s="70" t="e">
        <f t="shared" si="29"/>
        <v>#VALUE!</v>
      </c>
      <c r="AAD13" s="70" t="e">
        <f t="shared" si="29"/>
        <v>#VALUE!</v>
      </c>
      <c r="AAE13" s="70" t="e">
        <f t="shared" si="29"/>
        <v>#VALUE!</v>
      </c>
      <c r="AAF13" s="70" t="e">
        <f t="shared" si="29"/>
        <v>#VALUE!</v>
      </c>
      <c r="AAG13" s="70" t="e">
        <f t="shared" si="29"/>
        <v>#VALUE!</v>
      </c>
      <c r="AAH13" s="70" t="e">
        <f t="shared" si="29"/>
        <v>#VALUE!</v>
      </c>
      <c r="AAI13" s="70" t="e">
        <f t="shared" si="29"/>
        <v>#VALUE!</v>
      </c>
      <c r="AAJ13" s="70" t="e">
        <f t="shared" si="29"/>
        <v>#VALUE!</v>
      </c>
      <c r="AAK13" s="70" t="e">
        <f t="shared" si="29"/>
        <v>#VALUE!</v>
      </c>
      <c r="AAL13" s="70" t="e">
        <f t="shared" si="29"/>
        <v>#VALUE!</v>
      </c>
      <c r="AAM13" s="70">
        <f t="shared" si="29"/>
        <v>0</v>
      </c>
      <c r="AAN13" s="70">
        <f t="shared" si="29"/>
        <v>0</v>
      </c>
      <c r="AAO13" s="70">
        <f t="shared" si="29"/>
        <v>0</v>
      </c>
      <c r="AAP13" s="70">
        <f t="shared" si="29"/>
        <v>0</v>
      </c>
      <c r="AAQ13" s="70">
        <f t="shared" si="29"/>
        <v>0</v>
      </c>
      <c r="AAR13" s="70">
        <f t="shared" si="29"/>
        <v>0</v>
      </c>
      <c r="AAS13" s="70">
        <f t="shared" si="29"/>
        <v>0</v>
      </c>
      <c r="AAT13" s="73">
        <f t="shared" si="29"/>
        <v>0</v>
      </c>
      <c r="AAU13" s="72" t="e">
        <f>SUM(AAU8:AAU12)</f>
        <v>#VALUE!</v>
      </c>
      <c r="AAV13" s="70" t="e">
        <f>SUM(AAV8:AAV12)</f>
        <v>#VALUE!</v>
      </c>
      <c r="AAW13" s="70" t="e">
        <f t="shared" ref="AAW13:ABR13" si="30">SUM(AAW8:AAW12)</f>
        <v>#VALUE!</v>
      </c>
      <c r="AAX13" s="70" t="e">
        <f t="shared" si="30"/>
        <v>#VALUE!</v>
      </c>
      <c r="AAY13" s="70" t="e">
        <f t="shared" si="30"/>
        <v>#VALUE!</v>
      </c>
      <c r="AAZ13" s="70" t="e">
        <f t="shared" si="30"/>
        <v>#VALUE!</v>
      </c>
      <c r="ABA13" s="70" t="e">
        <f t="shared" si="30"/>
        <v>#VALUE!</v>
      </c>
      <c r="ABB13" s="70" t="e">
        <f t="shared" si="30"/>
        <v>#VALUE!</v>
      </c>
      <c r="ABC13" s="70" t="e">
        <f t="shared" si="30"/>
        <v>#VALUE!</v>
      </c>
      <c r="ABD13" s="70" t="e">
        <f t="shared" si="30"/>
        <v>#VALUE!</v>
      </c>
      <c r="ABE13" s="70" t="e">
        <f t="shared" si="30"/>
        <v>#VALUE!</v>
      </c>
      <c r="ABF13" s="70" t="e">
        <f t="shared" si="30"/>
        <v>#VALUE!</v>
      </c>
      <c r="ABG13" s="70" t="e">
        <f t="shared" si="30"/>
        <v>#VALUE!</v>
      </c>
      <c r="ABH13" s="70" t="e">
        <f t="shared" si="30"/>
        <v>#VALUE!</v>
      </c>
      <c r="ABI13" s="70" t="e">
        <f t="shared" si="30"/>
        <v>#VALUE!</v>
      </c>
      <c r="ABJ13" s="70" t="e">
        <f t="shared" si="30"/>
        <v>#VALUE!</v>
      </c>
      <c r="ABK13" s="70" t="e">
        <f t="shared" si="30"/>
        <v>#VALUE!</v>
      </c>
      <c r="ABL13" s="70" t="e">
        <f t="shared" si="30"/>
        <v>#VALUE!</v>
      </c>
      <c r="ABM13" s="70" t="e">
        <f t="shared" si="30"/>
        <v>#VALUE!</v>
      </c>
      <c r="ABN13" s="70" t="e">
        <f t="shared" si="30"/>
        <v>#VALUE!</v>
      </c>
      <c r="ABO13" s="70" t="e">
        <f t="shared" si="30"/>
        <v>#VALUE!</v>
      </c>
      <c r="ABP13" s="70" t="e">
        <f t="shared" si="30"/>
        <v>#VALUE!</v>
      </c>
      <c r="ABQ13" s="70" t="e">
        <f t="shared" si="30"/>
        <v>#VALUE!</v>
      </c>
      <c r="ABR13" s="73" t="e">
        <f t="shared" si="30"/>
        <v>#VALUE!</v>
      </c>
      <c r="ABS13" s="72" t="e">
        <f>SUM(ABS8:ABS12)</f>
        <v>#VALUE!</v>
      </c>
      <c r="ABT13" s="70" t="e">
        <f>SUM(ABT8:ABT12)</f>
        <v>#VALUE!</v>
      </c>
      <c r="ABU13" s="70" t="e">
        <f t="shared" ref="ABU13:ACP13" si="31">SUM(ABU8:ABU12)</f>
        <v>#VALUE!</v>
      </c>
      <c r="ABV13" s="70" t="e">
        <f t="shared" si="31"/>
        <v>#VALUE!</v>
      </c>
      <c r="ABW13" s="70" t="e">
        <f t="shared" si="31"/>
        <v>#VALUE!</v>
      </c>
      <c r="ABX13" s="70" t="e">
        <f t="shared" si="31"/>
        <v>#VALUE!</v>
      </c>
      <c r="ABY13" s="70" t="e">
        <f t="shared" si="31"/>
        <v>#VALUE!</v>
      </c>
      <c r="ABZ13" s="70" t="e">
        <f t="shared" si="31"/>
        <v>#VALUE!</v>
      </c>
      <c r="ACA13" s="70" t="e">
        <f t="shared" si="31"/>
        <v>#VALUE!</v>
      </c>
      <c r="ACB13" s="70" t="e">
        <f t="shared" si="31"/>
        <v>#VALUE!</v>
      </c>
      <c r="ACC13" s="70" t="e">
        <f t="shared" si="31"/>
        <v>#VALUE!</v>
      </c>
      <c r="ACD13" s="70" t="e">
        <f t="shared" si="31"/>
        <v>#VALUE!</v>
      </c>
      <c r="ACE13" s="70" t="e">
        <f t="shared" si="31"/>
        <v>#VALUE!</v>
      </c>
      <c r="ACF13" s="70" t="e">
        <f t="shared" si="31"/>
        <v>#VALUE!</v>
      </c>
      <c r="ACG13" s="70" t="e">
        <f t="shared" si="31"/>
        <v>#VALUE!</v>
      </c>
      <c r="ACH13" s="70" t="e">
        <f t="shared" si="31"/>
        <v>#VALUE!</v>
      </c>
      <c r="ACI13" s="70" t="e">
        <f t="shared" si="31"/>
        <v>#VALUE!</v>
      </c>
      <c r="ACJ13" s="70" t="e">
        <f t="shared" si="31"/>
        <v>#VALUE!</v>
      </c>
      <c r="ACK13" s="70" t="e">
        <f t="shared" si="31"/>
        <v>#VALUE!</v>
      </c>
      <c r="ACL13" s="70" t="e">
        <f t="shared" si="31"/>
        <v>#VALUE!</v>
      </c>
      <c r="ACM13" s="70" t="e">
        <f t="shared" si="31"/>
        <v>#VALUE!</v>
      </c>
      <c r="ACN13" s="70" t="e">
        <f t="shared" si="31"/>
        <v>#VALUE!</v>
      </c>
      <c r="ACO13" s="70" t="e">
        <f t="shared" si="31"/>
        <v>#VALUE!</v>
      </c>
      <c r="ACP13" s="73" t="e">
        <f t="shared" si="31"/>
        <v>#VALUE!</v>
      </c>
    </row>
    <row r="26" spans="20:42">
      <c r="T26" s="66" t="s">
        <v>69</v>
      </c>
      <c r="V26" s="66" t="s">
        <v>70</v>
      </c>
      <c r="X26" s="66" t="s">
        <v>71</v>
      </c>
      <c r="Z26" s="66" t="s">
        <v>72</v>
      </c>
      <c r="AB26" s="66" t="s">
        <v>73</v>
      </c>
      <c r="AD26" s="66" t="s">
        <v>74</v>
      </c>
      <c r="AF26" s="66" t="s">
        <v>75</v>
      </c>
      <c r="AH26" s="66" t="s">
        <v>76</v>
      </c>
      <c r="AJ26" s="66" t="s">
        <v>77</v>
      </c>
      <c r="AL26" s="66" t="s">
        <v>78</v>
      </c>
      <c r="AN26" s="66" t="s">
        <v>79</v>
      </c>
      <c r="AP26" s="66" t="s">
        <v>80</v>
      </c>
    </row>
    <row r="27" spans="20:42">
      <c r="T27" s="66" t="s">
        <v>69</v>
      </c>
      <c r="V27" s="66" t="s">
        <v>70</v>
      </c>
      <c r="X27" s="66" t="s">
        <v>71</v>
      </c>
      <c r="Z27" s="66" t="s">
        <v>72</v>
      </c>
    </row>
    <row r="28" spans="20:42">
      <c r="T28" s="66" t="s">
        <v>71</v>
      </c>
    </row>
    <row r="29" spans="20:42">
      <c r="T29" s="66" t="s">
        <v>72</v>
      </c>
    </row>
    <row r="30" spans="20:42">
      <c r="T30" s="66" t="s">
        <v>73</v>
      </c>
    </row>
    <row r="31" spans="20:42">
      <c r="T31" s="66" t="s">
        <v>74</v>
      </c>
    </row>
    <row r="32" spans="20:42">
      <c r="T32" s="66" t="s">
        <v>75</v>
      </c>
    </row>
    <row r="33" spans="20:20">
      <c r="T33" s="66" t="s">
        <v>76</v>
      </c>
    </row>
    <row r="34" spans="20:20">
      <c r="T34" s="66" t="s">
        <v>77</v>
      </c>
    </row>
    <row r="35" spans="20:20">
      <c r="T35" s="66" t="s">
        <v>78</v>
      </c>
    </row>
    <row r="36" spans="20:20">
      <c r="T36" s="66" t="s">
        <v>79</v>
      </c>
    </row>
    <row r="37" spans="20:20">
      <c r="T37" s="66" t="s">
        <v>80</v>
      </c>
    </row>
  </sheetData>
  <mergeCells count="459">
    <mergeCell ref="A13:B13"/>
    <mergeCell ref="ACO6:ACP6"/>
    <mergeCell ref="A8:B8"/>
    <mergeCell ref="A9:B9"/>
    <mergeCell ref="A10:B10"/>
    <mergeCell ref="A11:B11"/>
    <mergeCell ref="A12:B12"/>
    <mergeCell ref="ACC6:ACD6"/>
    <mergeCell ref="ACE6:ACF6"/>
    <mergeCell ref="ACG6:ACH6"/>
    <mergeCell ref="ACI6:ACJ6"/>
    <mergeCell ref="ACK6:ACL6"/>
    <mergeCell ref="ACM6:ACN6"/>
    <mergeCell ref="ABQ6:ABR6"/>
    <mergeCell ref="ABS6:ABT6"/>
    <mergeCell ref="ABU6:ABV6"/>
    <mergeCell ref="ABW6:ABX6"/>
    <mergeCell ref="ABY6:ABZ6"/>
    <mergeCell ref="ACA6:ACB6"/>
    <mergeCell ref="ABE6:ABF6"/>
    <mergeCell ref="ABG6:ABH6"/>
    <mergeCell ref="ABI6:ABJ6"/>
    <mergeCell ref="ABK6:ABL6"/>
    <mergeCell ref="ABM6:ABN6"/>
    <mergeCell ref="ABO6:ABP6"/>
    <mergeCell ref="AAS6:AAT6"/>
    <mergeCell ref="AAU6:AAV6"/>
    <mergeCell ref="AAW6:AAX6"/>
    <mergeCell ref="AAY6:AAZ6"/>
    <mergeCell ref="ABA6:ABB6"/>
    <mergeCell ref="ABC6:ABD6"/>
    <mergeCell ref="AAG6:AAH6"/>
    <mergeCell ref="AAI6:AAJ6"/>
    <mergeCell ref="AAK6:AAL6"/>
    <mergeCell ref="AAM6:AAN6"/>
    <mergeCell ref="AAO6:AAP6"/>
    <mergeCell ref="AAQ6:AAR6"/>
    <mergeCell ref="ZU6:ZV6"/>
    <mergeCell ref="ZW6:ZX6"/>
    <mergeCell ref="ZY6:ZZ6"/>
    <mergeCell ref="AAA6:AAB6"/>
    <mergeCell ref="AAC6:AAD6"/>
    <mergeCell ref="AAE6:AAF6"/>
    <mergeCell ref="ZI6:ZJ6"/>
    <mergeCell ref="ZK6:ZL6"/>
    <mergeCell ref="ZM6:ZN6"/>
    <mergeCell ref="ZO6:ZP6"/>
    <mergeCell ref="ZQ6:ZR6"/>
    <mergeCell ref="ZS6:ZT6"/>
    <mergeCell ref="YW6:YX6"/>
    <mergeCell ref="YY6:YZ6"/>
    <mergeCell ref="ZA6:ZB6"/>
    <mergeCell ref="ZC6:ZD6"/>
    <mergeCell ref="ZE6:ZF6"/>
    <mergeCell ref="ZG6:ZH6"/>
    <mergeCell ref="YK6:YL6"/>
    <mergeCell ref="YM6:YN6"/>
    <mergeCell ref="YO6:YP6"/>
    <mergeCell ref="YQ6:YR6"/>
    <mergeCell ref="YS6:YT6"/>
    <mergeCell ref="YU6:YV6"/>
    <mergeCell ref="XY6:XZ6"/>
    <mergeCell ref="YA6:YB6"/>
    <mergeCell ref="YC6:YD6"/>
    <mergeCell ref="YE6:YF6"/>
    <mergeCell ref="YG6:YH6"/>
    <mergeCell ref="YI6:YJ6"/>
    <mergeCell ref="XM6:XN6"/>
    <mergeCell ref="XO6:XP6"/>
    <mergeCell ref="XQ6:XR6"/>
    <mergeCell ref="XS6:XT6"/>
    <mergeCell ref="XU6:XV6"/>
    <mergeCell ref="XW6:XX6"/>
    <mergeCell ref="XA6:XB6"/>
    <mergeCell ref="XC6:XD6"/>
    <mergeCell ref="XE6:XF6"/>
    <mergeCell ref="XG6:XH6"/>
    <mergeCell ref="XI6:XJ6"/>
    <mergeCell ref="XK6:XL6"/>
    <mergeCell ref="WO6:WP6"/>
    <mergeCell ref="WQ6:WR6"/>
    <mergeCell ref="WS6:WT6"/>
    <mergeCell ref="WU6:WV6"/>
    <mergeCell ref="WW6:WX6"/>
    <mergeCell ref="WY6:WZ6"/>
    <mergeCell ref="WC6:WD6"/>
    <mergeCell ref="WE6:WF6"/>
    <mergeCell ref="WG6:WH6"/>
    <mergeCell ref="WI6:WJ6"/>
    <mergeCell ref="WK6:WL6"/>
    <mergeCell ref="WM6:WN6"/>
    <mergeCell ref="VQ6:VR6"/>
    <mergeCell ref="VS6:VT6"/>
    <mergeCell ref="VU6:VV6"/>
    <mergeCell ref="VW6:VX6"/>
    <mergeCell ref="VY6:VZ6"/>
    <mergeCell ref="WA6:WB6"/>
    <mergeCell ref="VE6:VF6"/>
    <mergeCell ref="VG6:VH6"/>
    <mergeCell ref="VI6:VJ6"/>
    <mergeCell ref="VK6:VL6"/>
    <mergeCell ref="VM6:VN6"/>
    <mergeCell ref="VO6:VP6"/>
    <mergeCell ref="US6:UT6"/>
    <mergeCell ref="UU6:UV6"/>
    <mergeCell ref="UW6:UX6"/>
    <mergeCell ref="UY6:UZ6"/>
    <mergeCell ref="VA6:VB6"/>
    <mergeCell ref="VC6:VD6"/>
    <mergeCell ref="UG6:UH6"/>
    <mergeCell ref="UI6:UJ6"/>
    <mergeCell ref="UK6:UL6"/>
    <mergeCell ref="UM6:UN6"/>
    <mergeCell ref="UO6:UP6"/>
    <mergeCell ref="UQ6:UR6"/>
    <mergeCell ref="TU6:TV6"/>
    <mergeCell ref="TW6:TX6"/>
    <mergeCell ref="TY6:TZ6"/>
    <mergeCell ref="UA6:UB6"/>
    <mergeCell ref="UC6:UD6"/>
    <mergeCell ref="UE6:UF6"/>
    <mergeCell ref="TI6:TJ6"/>
    <mergeCell ref="TK6:TL6"/>
    <mergeCell ref="TM6:TN6"/>
    <mergeCell ref="TO6:TP6"/>
    <mergeCell ref="TQ6:TR6"/>
    <mergeCell ref="TS6:TT6"/>
    <mergeCell ref="SW6:SX6"/>
    <mergeCell ref="SY6:SZ6"/>
    <mergeCell ref="TA6:TB6"/>
    <mergeCell ref="TC6:TD6"/>
    <mergeCell ref="TE6:TF6"/>
    <mergeCell ref="TG6:TH6"/>
    <mergeCell ref="SK6:SL6"/>
    <mergeCell ref="SM6:SN6"/>
    <mergeCell ref="SO6:SP6"/>
    <mergeCell ref="SQ6:SR6"/>
    <mergeCell ref="SS6:ST6"/>
    <mergeCell ref="SU6:SV6"/>
    <mergeCell ref="RY6:RZ6"/>
    <mergeCell ref="SA6:SB6"/>
    <mergeCell ref="SC6:SD6"/>
    <mergeCell ref="SE6:SF6"/>
    <mergeCell ref="SG6:SH6"/>
    <mergeCell ref="SI6:SJ6"/>
    <mergeCell ref="RM6:RN6"/>
    <mergeCell ref="RO6:RP6"/>
    <mergeCell ref="RQ6:RR6"/>
    <mergeCell ref="RS6:RT6"/>
    <mergeCell ref="RU6:RV6"/>
    <mergeCell ref="RW6:RX6"/>
    <mergeCell ref="RA6:RB6"/>
    <mergeCell ref="RC6:RD6"/>
    <mergeCell ref="RE6:RF6"/>
    <mergeCell ref="RG6:RH6"/>
    <mergeCell ref="RI6:RJ6"/>
    <mergeCell ref="RK6:RL6"/>
    <mergeCell ref="QO6:QP6"/>
    <mergeCell ref="QQ6:QR6"/>
    <mergeCell ref="QS6:QT6"/>
    <mergeCell ref="QU6:QV6"/>
    <mergeCell ref="QW6:QX6"/>
    <mergeCell ref="QY6:QZ6"/>
    <mergeCell ref="QC6:QD6"/>
    <mergeCell ref="QE6:QF6"/>
    <mergeCell ref="QG6:QH6"/>
    <mergeCell ref="QI6:QJ6"/>
    <mergeCell ref="QK6:QL6"/>
    <mergeCell ref="QM6:QN6"/>
    <mergeCell ref="PQ6:PR6"/>
    <mergeCell ref="PS6:PT6"/>
    <mergeCell ref="PU6:PV6"/>
    <mergeCell ref="PW6:PX6"/>
    <mergeCell ref="PY6:PZ6"/>
    <mergeCell ref="QA6:QB6"/>
    <mergeCell ref="PE6:PF6"/>
    <mergeCell ref="PG6:PH6"/>
    <mergeCell ref="PI6:PJ6"/>
    <mergeCell ref="PK6:PL6"/>
    <mergeCell ref="PM6:PN6"/>
    <mergeCell ref="PO6:PP6"/>
    <mergeCell ref="OS6:OT6"/>
    <mergeCell ref="OU6:OV6"/>
    <mergeCell ref="OW6:OX6"/>
    <mergeCell ref="OY6:OZ6"/>
    <mergeCell ref="PA6:PB6"/>
    <mergeCell ref="PC6:PD6"/>
    <mergeCell ref="OG6:OH6"/>
    <mergeCell ref="OI6:OJ6"/>
    <mergeCell ref="OK6:OL6"/>
    <mergeCell ref="OM6:ON6"/>
    <mergeCell ref="OO6:OP6"/>
    <mergeCell ref="OQ6:OR6"/>
    <mergeCell ref="NU6:NV6"/>
    <mergeCell ref="NW6:NX6"/>
    <mergeCell ref="NY6:NZ6"/>
    <mergeCell ref="OA6:OB6"/>
    <mergeCell ref="OC6:OD6"/>
    <mergeCell ref="OE6:OF6"/>
    <mergeCell ref="NI6:NJ6"/>
    <mergeCell ref="NK6:NL6"/>
    <mergeCell ref="NM6:NN6"/>
    <mergeCell ref="NO6:NP6"/>
    <mergeCell ref="NQ6:NR6"/>
    <mergeCell ref="NS6:NT6"/>
    <mergeCell ref="MW6:MX6"/>
    <mergeCell ref="MY6:MZ6"/>
    <mergeCell ref="NA6:NB6"/>
    <mergeCell ref="NC6:ND6"/>
    <mergeCell ref="NE6:NF6"/>
    <mergeCell ref="NG6:NH6"/>
    <mergeCell ref="MK6:ML6"/>
    <mergeCell ref="MM6:MN6"/>
    <mergeCell ref="MO6:MP6"/>
    <mergeCell ref="MQ6:MR6"/>
    <mergeCell ref="MS6:MT6"/>
    <mergeCell ref="MU6:MV6"/>
    <mergeCell ref="LY6:LZ6"/>
    <mergeCell ref="MA6:MB6"/>
    <mergeCell ref="MC6:MD6"/>
    <mergeCell ref="ME6:MF6"/>
    <mergeCell ref="MG6:MH6"/>
    <mergeCell ref="MI6:MJ6"/>
    <mergeCell ref="LM6:LN6"/>
    <mergeCell ref="LO6:LP6"/>
    <mergeCell ref="LQ6:LR6"/>
    <mergeCell ref="LS6:LT6"/>
    <mergeCell ref="LU6:LV6"/>
    <mergeCell ref="LW6:LX6"/>
    <mergeCell ref="LA6:LB6"/>
    <mergeCell ref="LC6:LD6"/>
    <mergeCell ref="LE6:LF6"/>
    <mergeCell ref="LG6:LH6"/>
    <mergeCell ref="LI6:LJ6"/>
    <mergeCell ref="LK6:LL6"/>
    <mergeCell ref="KO6:KP6"/>
    <mergeCell ref="KQ6:KR6"/>
    <mergeCell ref="KS6:KT6"/>
    <mergeCell ref="KU6:KV6"/>
    <mergeCell ref="KW6:KX6"/>
    <mergeCell ref="KY6:KZ6"/>
    <mergeCell ref="KC6:KD6"/>
    <mergeCell ref="KE6:KF6"/>
    <mergeCell ref="KG6:KH6"/>
    <mergeCell ref="KI6:KJ6"/>
    <mergeCell ref="KK6:KL6"/>
    <mergeCell ref="KM6:KN6"/>
    <mergeCell ref="JQ6:JR6"/>
    <mergeCell ref="JS6:JT6"/>
    <mergeCell ref="JU6:JV6"/>
    <mergeCell ref="JW6:JX6"/>
    <mergeCell ref="JY6:JZ6"/>
    <mergeCell ref="KA6:KB6"/>
    <mergeCell ref="JE6:JF6"/>
    <mergeCell ref="JG6:JH6"/>
    <mergeCell ref="JI6:JJ6"/>
    <mergeCell ref="JK6:JL6"/>
    <mergeCell ref="JM6:JN6"/>
    <mergeCell ref="JO6:JP6"/>
    <mergeCell ref="IS6:IT6"/>
    <mergeCell ref="IU6:IV6"/>
    <mergeCell ref="IW6:IX6"/>
    <mergeCell ref="IY6:IZ6"/>
    <mergeCell ref="JA6:JB6"/>
    <mergeCell ref="JC6:JD6"/>
    <mergeCell ref="IG6:IH6"/>
    <mergeCell ref="II6:IJ6"/>
    <mergeCell ref="IK6:IL6"/>
    <mergeCell ref="IM6:IN6"/>
    <mergeCell ref="IO6:IP6"/>
    <mergeCell ref="IQ6:IR6"/>
    <mergeCell ref="HU6:HV6"/>
    <mergeCell ref="HW6:HX6"/>
    <mergeCell ref="HY6:HZ6"/>
    <mergeCell ref="IA6:IB6"/>
    <mergeCell ref="IC6:ID6"/>
    <mergeCell ref="IE6:IF6"/>
    <mergeCell ref="HI6:HJ6"/>
    <mergeCell ref="HK6:HL6"/>
    <mergeCell ref="HM6:HN6"/>
    <mergeCell ref="HO6:HP6"/>
    <mergeCell ref="HQ6:HR6"/>
    <mergeCell ref="HS6:HT6"/>
    <mergeCell ref="GW6:GX6"/>
    <mergeCell ref="GY6:GZ6"/>
    <mergeCell ref="HA6:HB6"/>
    <mergeCell ref="HC6:HD6"/>
    <mergeCell ref="HE6:HF6"/>
    <mergeCell ref="HG6:HH6"/>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 ref="FK6:FL6"/>
    <mergeCell ref="EO6:EP6"/>
    <mergeCell ref="EQ6:ER6"/>
    <mergeCell ref="ES6:ET6"/>
    <mergeCell ref="EU6:EV6"/>
    <mergeCell ref="EW6:EX6"/>
    <mergeCell ref="EY6:EZ6"/>
    <mergeCell ref="EC6:ED6"/>
    <mergeCell ref="EE6:EF6"/>
    <mergeCell ref="EG6:EH6"/>
    <mergeCell ref="EI6:EJ6"/>
    <mergeCell ref="EK6:EL6"/>
    <mergeCell ref="EM6:EN6"/>
    <mergeCell ref="DQ6:DR6"/>
    <mergeCell ref="DS6:DT6"/>
    <mergeCell ref="DU6:DV6"/>
    <mergeCell ref="DW6:DX6"/>
    <mergeCell ref="DY6:DZ6"/>
    <mergeCell ref="EA6:EB6"/>
    <mergeCell ref="DE6:DF6"/>
    <mergeCell ref="DG6:DH6"/>
    <mergeCell ref="DI6:DJ6"/>
    <mergeCell ref="DK6:DL6"/>
    <mergeCell ref="DM6:DN6"/>
    <mergeCell ref="DO6:DP6"/>
    <mergeCell ref="CS6:CT6"/>
    <mergeCell ref="CU6:CV6"/>
    <mergeCell ref="CW6:CX6"/>
    <mergeCell ref="CY6:CZ6"/>
    <mergeCell ref="DA6:DB6"/>
    <mergeCell ref="DC6:DD6"/>
    <mergeCell ref="CG6:CH6"/>
    <mergeCell ref="CI6:CJ6"/>
    <mergeCell ref="CK6:CL6"/>
    <mergeCell ref="CM6:CN6"/>
    <mergeCell ref="CO6:CP6"/>
    <mergeCell ref="CQ6:CR6"/>
    <mergeCell ref="BU6:BV6"/>
    <mergeCell ref="BW6:BX6"/>
    <mergeCell ref="BY6:BZ6"/>
    <mergeCell ref="CA6:CB6"/>
    <mergeCell ref="CC6:CD6"/>
    <mergeCell ref="CE6:CF6"/>
    <mergeCell ref="BI6:BJ6"/>
    <mergeCell ref="BK6:BL6"/>
    <mergeCell ref="BM6:BN6"/>
    <mergeCell ref="BO6:BP6"/>
    <mergeCell ref="BQ6:BR6"/>
    <mergeCell ref="BS6:BT6"/>
    <mergeCell ref="AW6:AX6"/>
    <mergeCell ref="AY6:AZ6"/>
    <mergeCell ref="BA6:BB6"/>
    <mergeCell ref="BC6:BD6"/>
    <mergeCell ref="BE6:BF6"/>
    <mergeCell ref="BG6:BH6"/>
    <mergeCell ref="AK6:AL6"/>
    <mergeCell ref="AM6:AN6"/>
    <mergeCell ref="AO6:AP6"/>
    <mergeCell ref="AQ6:AR6"/>
    <mergeCell ref="AS6:AT6"/>
    <mergeCell ref="AU6:AV6"/>
    <mergeCell ref="AE6:AF6"/>
    <mergeCell ref="AG6:AH6"/>
    <mergeCell ref="AI6:AJ6"/>
    <mergeCell ref="M6:N6"/>
    <mergeCell ref="O6:P6"/>
    <mergeCell ref="Q6:R6"/>
    <mergeCell ref="S6:T6"/>
    <mergeCell ref="U6:V6"/>
    <mergeCell ref="W6:X6"/>
    <mergeCell ref="A6:B6"/>
    <mergeCell ref="C6:D6"/>
    <mergeCell ref="E6:F6"/>
    <mergeCell ref="G6:H6"/>
    <mergeCell ref="I6:J6"/>
    <mergeCell ref="K6:L6"/>
    <mergeCell ref="XC4:XZ5"/>
    <mergeCell ref="YA4:YX5"/>
    <mergeCell ref="YY4:ZV5"/>
    <mergeCell ref="MA4:MX5"/>
    <mergeCell ref="MY4:NV5"/>
    <mergeCell ref="NW4:OT5"/>
    <mergeCell ref="OU4:PR5"/>
    <mergeCell ref="PS4:QP5"/>
    <mergeCell ref="QQ4:RN5"/>
    <mergeCell ref="GM4:HJ5"/>
    <mergeCell ref="HK4:IH5"/>
    <mergeCell ref="II4:JF5"/>
    <mergeCell ref="JG4:KD5"/>
    <mergeCell ref="KE4:LB5"/>
    <mergeCell ref="LC4:LZ5"/>
    <mergeCell ref="Y6:Z6"/>
    <mergeCell ref="AA6:AB6"/>
    <mergeCell ref="AC6:AD6"/>
    <mergeCell ref="LC3:LZ3"/>
    <mergeCell ref="MA3:MX3"/>
    <mergeCell ref="ZW4:AAT5"/>
    <mergeCell ref="AAU4:ABR5"/>
    <mergeCell ref="ABS4:ACP5"/>
    <mergeCell ref="RO4:SL5"/>
    <mergeCell ref="SM4:TJ5"/>
    <mergeCell ref="TK4:UH5"/>
    <mergeCell ref="UI4:VF5"/>
    <mergeCell ref="VG4:WD5"/>
    <mergeCell ref="WE4:XB5"/>
    <mergeCell ref="YY3:ZV3"/>
    <mergeCell ref="ZW3:AAT3"/>
    <mergeCell ref="AAU3:ABR3"/>
    <mergeCell ref="QQ3:RN3"/>
    <mergeCell ref="RO3:SL3"/>
    <mergeCell ref="SM3:TJ3"/>
    <mergeCell ref="TK3:UH3"/>
    <mergeCell ref="UI3:VF3"/>
    <mergeCell ref="VG3:WD3"/>
    <mergeCell ref="A4:B5"/>
    <mergeCell ref="C4:Z5"/>
    <mergeCell ref="AA4:AX5"/>
    <mergeCell ref="AY4:BV5"/>
    <mergeCell ref="BW4:CT5"/>
    <mergeCell ref="CU4:DR5"/>
    <mergeCell ref="DS4:EP5"/>
    <mergeCell ref="EQ4:FN5"/>
    <mergeCell ref="FO4:GL5"/>
    <mergeCell ref="A1:Z2"/>
    <mergeCell ref="AX1:ACP1"/>
    <mergeCell ref="AX2:ACP2"/>
    <mergeCell ref="D3:Z3"/>
    <mergeCell ref="AA3:AX3"/>
    <mergeCell ref="AY3:BV3"/>
    <mergeCell ref="BW3:CT3"/>
    <mergeCell ref="CU3:DR3"/>
    <mergeCell ref="DS3:EP3"/>
    <mergeCell ref="EQ3:FN3"/>
    <mergeCell ref="MY3:NV3"/>
    <mergeCell ref="NW3:OT3"/>
    <mergeCell ref="OU3:PR3"/>
    <mergeCell ref="PS3:QP3"/>
    <mergeCell ref="FO3:GL3"/>
    <mergeCell ref="GM3:HJ3"/>
    <mergeCell ref="HK3:IH3"/>
    <mergeCell ref="II3:JF3"/>
    <mergeCell ref="JG3:KD3"/>
    <mergeCell ref="KE3:LB3"/>
    <mergeCell ref="ABS3:ACP3"/>
    <mergeCell ref="WE3:XB3"/>
    <mergeCell ref="XC3:XZ3"/>
    <mergeCell ref="YA3:YX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43"/>
  <sheetViews>
    <sheetView showGridLines="0" topLeftCell="A20" zoomScale="70" zoomScaleNormal="70" workbookViewId="0">
      <selection activeCell="T25" sqref="T25"/>
    </sheetView>
  </sheetViews>
  <sheetFormatPr baseColWidth="10" defaultColWidth="12.7109375" defaultRowHeight="15"/>
  <cols>
    <col min="1" max="1" width="22.5703125" style="89" customWidth="1"/>
    <col min="2" max="2" width="11.5703125" style="90" customWidth="1"/>
    <col min="3" max="3" width="13.42578125" style="90" customWidth="1"/>
    <col min="4" max="4" width="6.42578125" style="89" customWidth="1"/>
    <col min="5" max="5" width="28.85546875" style="89" customWidth="1"/>
    <col min="6" max="6" width="56.28515625" style="89" customWidth="1"/>
    <col min="7" max="7" width="21.42578125" style="89" customWidth="1"/>
    <col min="8" max="8" width="39.7109375" style="89" customWidth="1"/>
    <col min="9" max="9" width="22.85546875" style="91" customWidth="1"/>
    <col min="10" max="33" width="8" style="89" customWidth="1"/>
    <col min="34" max="34" width="11.42578125" style="90" customWidth="1"/>
    <col min="35" max="35" width="10.140625" style="90" customWidth="1"/>
    <col min="36" max="36" width="11" style="90" customWidth="1"/>
    <col min="37" max="37" width="11.140625" style="90" customWidth="1"/>
    <col min="38" max="38" width="9.7109375" style="90" customWidth="1"/>
    <col min="39" max="39" width="29.28515625" style="89" customWidth="1"/>
    <col min="40" max="40" width="24.7109375" style="89" customWidth="1"/>
    <col min="41" max="41" width="20.140625" style="89" customWidth="1"/>
    <col min="42" max="16384" width="12.7109375" style="89"/>
  </cols>
  <sheetData>
    <row r="1" spans="1:41" ht="41.45" customHeight="1" thickBot="1">
      <c r="A1" s="489"/>
      <c r="B1" s="490"/>
      <c r="C1" s="490"/>
      <c r="D1" s="491"/>
      <c r="E1" s="495" t="s">
        <v>0</v>
      </c>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497"/>
    </row>
    <row r="2" spans="1:41" ht="41.45" customHeight="1" thickBot="1">
      <c r="A2" s="492"/>
      <c r="B2" s="493"/>
      <c r="C2" s="493"/>
      <c r="D2" s="494"/>
      <c r="E2" s="495" t="s">
        <v>165</v>
      </c>
      <c r="F2" s="496"/>
      <c r="G2" s="496"/>
      <c r="H2" s="496"/>
      <c r="I2" s="496"/>
      <c r="J2" s="496"/>
      <c r="K2" s="496"/>
      <c r="L2" s="496"/>
      <c r="M2" s="496"/>
      <c r="N2" s="496"/>
      <c r="O2" s="496"/>
      <c r="P2" s="496"/>
      <c r="Q2" s="496"/>
      <c r="R2" s="496"/>
      <c r="S2" s="496"/>
      <c r="T2" s="496"/>
      <c r="U2" s="496"/>
      <c r="V2" s="496"/>
      <c r="W2" s="496"/>
      <c r="X2" s="496"/>
      <c r="Y2" s="496"/>
      <c r="Z2" s="496"/>
      <c r="AA2" s="496"/>
      <c r="AB2" s="496"/>
      <c r="AC2" s="496"/>
      <c r="AD2" s="496"/>
      <c r="AE2" s="496"/>
      <c r="AF2" s="496"/>
      <c r="AG2" s="496"/>
      <c r="AH2" s="496"/>
      <c r="AI2" s="496"/>
      <c r="AJ2" s="496"/>
      <c r="AK2" s="496"/>
      <c r="AL2" s="496"/>
      <c r="AM2" s="496"/>
      <c r="AN2" s="496" t="s">
        <v>164</v>
      </c>
      <c r="AO2" s="497"/>
    </row>
    <row r="3" spans="1:41" ht="12.75" customHeight="1">
      <c r="A3" s="498" t="s">
        <v>1</v>
      </c>
      <c r="B3" s="501" t="s">
        <v>2</v>
      </c>
      <c r="C3" s="502"/>
      <c r="D3" s="503"/>
      <c r="E3" s="499" t="s">
        <v>3</v>
      </c>
      <c r="F3" s="499" t="s">
        <v>118</v>
      </c>
      <c r="G3" s="507" t="s">
        <v>4</v>
      </c>
      <c r="H3" s="499" t="s">
        <v>5</v>
      </c>
      <c r="I3" s="508" t="s">
        <v>6</v>
      </c>
      <c r="J3" s="479" t="s">
        <v>7</v>
      </c>
      <c r="K3" s="484"/>
      <c r="L3" s="479" t="s">
        <v>8</v>
      </c>
      <c r="M3" s="484"/>
      <c r="N3" s="479" t="s">
        <v>9</v>
      </c>
      <c r="O3" s="487"/>
      <c r="P3" s="483" t="s">
        <v>10</v>
      </c>
      <c r="Q3" s="484"/>
      <c r="R3" s="479" t="s">
        <v>11</v>
      </c>
      <c r="S3" s="484"/>
      <c r="T3" s="479" t="s">
        <v>12</v>
      </c>
      <c r="U3" s="480"/>
      <c r="V3" s="483" t="s">
        <v>13</v>
      </c>
      <c r="W3" s="484"/>
      <c r="X3" s="479" t="s">
        <v>239</v>
      </c>
      <c r="Y3" s="484"/>
      <c r="Z3" s="479" t="s">
        <v>14</v>
      </c>
      <c r="AA3" s="480"/>
      <c r="AB3" s="483" t="s">
        <v>15</v>
      </c>
      <c r="AC3" s="484"/>
      <c r="AD3" s="479" t="s">
        <v>16</v>
      </c>
      <c r="AE3" s="484"/>
      <c r="AF3" s="479" t="s">
        <v>17</v>
      </c>
      <c r="AG3" s="480"/>
      <c r="AH3" s="486" t="s">
        <v>158</v>
      </c>
      <c r="AI3" s="510"/>
      <c r="AJ3" s="510"/>
      <c r="AK3" s="510"/>
      <c r="AL3" s="510"/>
      <c r="AM3" s="513" t="s">
        <v>18</v>
      </c>
      <c r="AN3" s="513" t="s">
        <v>19</v>
      </c>
      <c r="AO3" s="513" t="s">
        <v>20</v>
      </c>
    </row>
    <row r="4" spans="1:41">
      <c r="A4" s="499"/>
      <c r="B4" s="504"/>
      <c r="C4" s="505"/>
      <c r="D4" s="506"/>
      <c r="E4" s="499"/>
      <c r="F4" s="499"/>
      <c r="G4" s="499"/>
      <c r="H4" s="499"/>
      <c r="I4" s="508"/>
      <c r="J4" s="481" t="s">
        <v>21</v>
      </c>
      <c r="K4" s="486" t="s">
        <v>22</v>
      </c>
      <c r="L4" s="481" t="s">
        <v>21</v>
      </c>
      <c r="M4" s="486" t="s">
        <v>22</v>
      </c>
      <c r="N4" s="481" t="s">
        <v>21</v>
      </c>
      <c r="O4" s="488" t="s">
        <v>22</v>
      </c>
      <c r="P4" s="485" t="s">
        <v>21</v>
      </c>
      <c r="Q4" s="486" t="s">
        <v>22</v>
      </c>
      <c r="R4" s="481" t="s">
        <v>21</v>
      </c>
      <c r="S4" s="486" t="s">
        <v>22</v>
      </c>
      <c r="T4" s="481" t="s">
        <v>21</v>
      </c>
      <c r="U4" s="482" t="s">
        <v>22</v>
      </c>
      <c r="V4" s="485" t="s">
        <v>21</v>
      </c>
      <c r="W4" s="486" t="s">
        <v>22</v>
      </c>
      <c r="X4" s="481" t="s">
        <v>21</v>
      </c>
      <c r="Y4" s="486" t="s">
        <v>22</v>
      </c>
      <c r="Z4" s="481" t="s">
        <v>21</v>
      </c>
      <c r="AA4" s="482" t="s">
        <v>22</v>
      </c>
      <c r="AB4" s="485" t="s">
        <v>21</v>
      </c>
      <c r="AC4" s="486" t="s">
        <v>22</v>
      </c>
      <c r="AD4" s="481" t="s">
        <v>21</v>
      </c>
      <c r="AE4" s="486" t="s">
        <v>22</v>
      </c>
      <c r="AF4" s="481" t="s">
        <v>21</v>
      </c>
      <c r="AG4" s="482" t="s">
        <v>22</v>
      </c>
      <c r="AH4" s="511"/>
      <c r="AI4" s="512"/>
      <c r="AJ4" s="512"/>
      <c r="AK4" s="512"/>
      <c r="AL4" s="512"/>
      <c r="AM4" s="513"/>
      <c r="AN4" s="513"/>
      <c r="AO4" s="513"/>
    </row>
    <row r="5" spans="1:41" ht="163.15" customHeight="1" thickBot="1">
      <c r="A5" s="500"/>
      <c r="B5" s="132" t="s">
        <v>23</v>
      </c>
      <c r="C5" s="132" t="s">
        <v>218</v>
      </c>
      <c r="D5" s="132" t="s">
        <v>24</v>
      </c>
      <c r="E5" s="500"/>
      <c r="F5" s="500"/>
      <c r="G5" s="500"/>
      <c r="H5" s="500"/>
      <c r="I5" s="509"/>
      <c r="J5" s="113" t="s">
        <v>25</v>
      </c>
      <c r="K5" s="113" t="s">
        <v>26</v>
      </c>
      <c r="L5" s="113" t="s">
        <v>25</v>
      </c>
      <c r="M5" s="113" t="s">
        <v>26</v>
      </c>
      <c r="N5" s="113" t="s">
        <v>25</v>
      </c>
      <c r="O5" s="258" t="s">
        <v>26</v>
      </c>
      <c r="P5" s="115" t="s">
        <v>25</v>
      </c>
      <c r="Q5" s="113" t="s">
        <v>26</v>
      </c>
      <c r="R5" s="113" t="s">
        <v>25</v>
      </c>
      <c r="S5" s="113" t="s">
        <v>26</v>
      </c>
      <c r="T5" s="113" t="s">
        <v>25</v>
      </c>
      <c r="U5" s="114" t="s">
        <v>26</v>
      </c>
      <c r="V5" s="115" t="s">
        <v>25</v>
      </c>
      <c r="W5" s="113" t="s">
        <v>26</v>
      </c>
      <c r="X5" s="113" t="s">
        <v>25</v>
      </c>
      <c r="Y5" s="113" t="s">
        <v>26</v>
      </c>
      <c r="Z5" s="113" t="s">
        <v>25</v>
      </c>
      <c r="AA5" s="114" t="s">
        <v>26</v>
      </c>
      <c r="AB5" s="115" t="s">
        <v>25</v>
      </c>
      <c r="AC5" s="113" t="s">
        <v>26</v>
      </c>
      <c r="AD5" s="113" t="s">
        <v>25</v>
      </c>
      <c r="AE5" s="113" t="s">
        <v>26</v>
      </c>
      <c r="AF5" s="113" t="s">
        <v>25</v>
      </c>
      <c r="AG5" s="114" t="s">
        <v>26</v>
      </c>
      <c r="AH5" s="94" t="s">
        <v>159</v>
      </c>
      <c r="AI5" s="81" t="s">
        <v>160</v>
      </c>
      <c r="AJ5" s="81" t="s">
        <v>161</v>
      </c>
      <c r="AK5" s="81" t="s">
        <v>162</v>
      </c>
      <c r="AL5" s="61" t="s">
        <v>163</v>
      </c>
      <c r="AM5" s="514"/>
      <c r="AN5" s="514"/>
      <c r="AO5" s="514"/>
    </row>
    <row r="6" spans="1:41" ht="38.25" customHeight="1">
      <c r="A6" s="133" t="s">
        <v>27</v>
      </c>
      <c r="B6" s="134"/>
      <c r="C6" s="134"/>
      <c r="D6" s="134" t="s">
        <v>28</v>
      </c>
      <c r="E6" s="135" t="s">
        <v>29</v>
      </c>
      <c r="F6" s="474" t="s">
        <v>30</v>
      </c>
      <c r="G6" s="474" t="s">
        <v>30</v>
      </c>
      <c r="H6" s="474" t="s">
        <v>31</v>
      </c>
      <c r="I6" s="477" t="s">
        <v>30</v>
      </c>
      <c r="J6" s="315">
        <v>1</v>
      </c>
      <c r="K6" s="316">
        <v>1</v>
      </c>
      <c r="L6" s="316"/>
      <c r="M6" s="316"/>
      <c r="N6" s="316"/>
      <c r="O6" s="321"/>
      <c r="P6" s="315"/>
      <c r="Q6" s="316"/>
      <c r="R6" s="316"/>
      <c r="S6" s="316"/>
      <c r="T6" s="317"/>
      <c r="U6" s="318"/>
      <c r="V6" s="330"/>
      <c r="W6" s="317"/>
      <c r="X6" s="317"/>
      <c r="Y6" s="317"/>
      <c r="Z6" s="317"/>
      <c r="AA6" s="318"/>
      <c r="AB6" s="324"/>
      <c r="AC6" s="317"/>
      <c r="AD6" s="317"/>
      <c r="AE6" s="317"/>
      <c r="AF6" s="317"/>
      <c r="AG6" s="318"/>
      <c r="AH6" s="120">
        <f>IFERROR(IF(COUNT(#REF!,J6,L6,N6)&gt;0,COUNT(M6,K6,#REF!,O6)/COUNT(#REF!,J6,L6,N6),"Sin Actividad"), "Sin Actividad")</f>
        <v>1</v>
      </c>
      <c r="AI6" s="121" t="str">
        <f>IFERROR(IF(COUNT(Q6,T6)&gt;0,COUNT(U6,R6)/COUNT(P6,S6),"Sin Actividad"), "Sin Actividad")</f>
        <v>Sin Actividad</v>
      </c>
      <c r="AJ6" s="121" t="str">
        <f>IFERROR(IF(COUNT(V6,X6,Z6)&gt;0,COUNT(AA6,Y6,W6)/COUNT(V6,X6,Z6),"Sin Actividad"), "Sin Actividad")</f>
        <v>Sin Actividad</v>
      </c>
      <c r="AK6" s="121" t="str">
        <f>IFERROR(IF(COUNT(AB6,AC6,AF6)&gt;0,COUNT(AB6,AD6,AG6)/COUNT(AB6,AC6,AE6),"Sin Actividad"), "Sin Actividad")</f>
        <v>Sin Actividad</v>
      </c>
      <c r="AL6" s="121">
        <f>IFERROR(AVERAGE(AH6:AK6),"Sin Actividad")</f>
        <v>1</v>
      </c>
      <c r="AM6" s="122" t="s">
        <v>32</v>
      </c>
      <c r="AN6" s="122" t="s">
        <v>32</v>
      </c>
      <c r="AO6" s="478" t="s">
        <v>33</v>
      </c>
    </row>
    <row r="7" spans="1:41" ht="37.5" customHeight="1">
      <c r="A7" s="133" t="s">
        <v>34</v>
      </c>
      <c r="B7" s="134"/>
      <c r="C7" s="134"/>
      <c r="D7" s="134" t="s">
        <v>28</v>
      </c>
      <c r="E7" s="135" t="s">
        <v>35</v>
      </c>
      <c r="F7" s="475"/>
      <c r="G7" s="475"/>
      <c r="H7" s="475"/>
      <c r="I7" s="477"/>
      <c r="J7" s="215"/>
      <c r="K7" s="116"/>
      <c r="L7" s="116"/>
      <c r="M7" s="116"/>
      <c r="N7" s="116"/>
      <c r="O7" s="214"/>
      <c r="P7" s="215"/>
      <c r="Q7" s="116"/>
      <c r="R7" s="116"/>
      <c r="S7" s="116"/>
      <c r="T7" s="117"/>
      <c r="U7" s="118"/>
      <c r="V7" s="119"/>
      <c r="W7" s="117"/>
      <c r="X7" s="117"/>
      <c r="Y7" s="117"/>
      <c r="Z7" s="117"/>
      <c r="AA7" s="118"/>
      <c r="AB7" s="325"/>
      <c r="AC7" s="117"/>
      <c r="AD7" s="117"/>
      <c r="AE7" s="117"/>
      <c r="AF7" s="117"/>
      <c r="AG7" s="118"/>
      <c r="AH7" s="120" t="str">
        <f>IFERROR(IF(COUNT(#REF!,J7,L7,N7)&gt;0,COUNT(M7,K7,#REF!,O7)/COUNT(#REF!,J7,L7,N7),"Sin Actividad"), "Sin Actividad")</f>
        <v>Sin Actividad</v>
      </c>
      <c r="AI7" s="121" t="str">
        <f>IFERROR(IF(COUNT(Q7,T7)&gt;0,COUNT(U7,R7)/COUNT(P7,S7),"Sin Actividad"), "Sin Actividad")</f>
        <v>Sin Actividad</v>
      </c>
      <c r="AJ7" s="121" t="str">
        <f>IFERROR(IF(COUNT(V7,X7,Z7)&gt;0,COUNT(AA7,Y7,W7)/COUNT(V7,X7,Z7),"Sin Actividad"), "Sin Actividad")</f>
        <v>Sin Actividad</v>
      </c>
      <c r="AK7" s="121" t="str">
        <f>IFERROR(IF(COUNT(AB7,AC7,AF7)&gt;0,COUNT(AB7,AD7,AG7)/COUNT(AB7,AC7,AE7),"Sin Actividad"), "Sin Actividad")</f>
        <v>Sin Actividad</v>
      </c>
      <c r="AL7" s="121" t="str">
        <f>IFERROR(AVERAGE(AH7:AK7),"Sin Actividad")</f>
        <v>Sin Actividad</v>
      </c>
      <c r="AM7" s="122" t="s">
        <v>32</v>
      </c>
      <c r="AN7" s="122" t="s">
        <v>32</v>
      </c>
      <c r="AO7" s="478"/>
    </row>
    <row r="8" spans="1:41" ht="44.45" customHeight="1">
      <c r="A8" s="133" t="s">
        <v>36</v>
      </c>
      <c r="B8" s="134"/>
      <c r="C8" s="134"/>
      <c r="D8" s="134" t="s">
        <v>28</v>
      </c>
      <c r="E8" s="135" t="s">
        <v>37</v>
      </c>
      <c r="F8" s="475"/>
      <c r="G8" s="475"/>
      <c r="H8" s="475"/>
      <c r="I8" s="477"/>
      <c r="J8" s="215">
        <v>1</v>
      </c>
      <c r="K8" s="116">
        <v>1</v>
      </c>
      <c r="L8" s="116">
        <v>1</v>
      </c>
      <c r="M8" s="116">
        <v>1</v>
      </c>
      <c r="N8" s="116">
        <v>1</v>
      </c>
      <c r="O8" s="214">
        <v>1</v>
      </c>
      <c r="P8" s="215">
        <v>1</v>
      </c>
      <c r="Q8" s="116">
        <v>1</v>
      </c>
      <c r="R8" s="116">
        <v>1</v>
      </c>
      <c r="S8" s="116">
        <v>1</v>
      </c>
      <c r="T8" s="116">
        <v>1</v>
      </c>
      <c r="U8" s="214">
        <v>1</v>
      </c>
      <c r="V8" s="119"/>
      <c r="W8" s="117"/>
      <c r="X8" s="117"/>
      <c r="Y8" s="117"/>
      <c r="Z8" s="117"/>
      <c r="AA8" s="118"/>
      <c r="AB8" s="325"/>
      <c r="AC8" s="117"/>
      <c r="AD8" s="117"/>
      <c r="AE8" s="117"/>
      <c r="AF8" s="117"/>
      <c r="AG8" s="118"/>
      <c r="AH8" s="120">
        <f>IFERROR(IF(COUNT(#REF!,J8,L8,N8)&gt;0,COUNT(M8,K8,#REF!,O8)/COUNT(#REF!,J8,L8,N8),"Sin Actividad"), "Sin Actividad")</f>
        <v>1</v>
      </c>
      <c r="AI8" s="121">
        <f t="shared" ref="AI8:AI9" si="0">IFERROR(IF(COUNT(Q8,T8)&gt;0,COUNT(U8,R8)/COUNT(P8,S8),"Sin Actividad"), "Sin Actividad")</f>
        <v>1</v>
      </c>
      <c r="AJ8" s="121" t="str">
        <f t="shared" ref="AJ8:AJ25" si="1">IFERROR(IF(COUNT(V8,X8,Z8)&gt;0,COUNT(AA8,Y8,W8)/COUNT(V8,X8,Z8),"Sin Actividad"), "Sin Actividad")</f>
        <v>Sin Actividad</v>
      </c>
      <c r="AK8" s="121" t="str">
        <f t="shared" ref="AK8:AK25" si="2">IFERROR(IF(COUNT(AB8,AC8,AF8)&gt;0,COUNT(AB8,AD8,AG8)/COUNT(AB8,AC8,AE8),"Sin Actividad"), "Sin Actividad")</f>
        <v>Sin Actividad</v>
      </c>
      <c r="AL8" s="121">
        <f t="shared" ref="AL8:AL25" si="3">IFERROR(AVERAGE(AH8:AK8),"Sin Actividad")</f>
        <v>1</v>
      </c>
      <c r="AM8" s="122" t="s">
        <v>32</v>
      </c>
      <c r="AN8" s="122" t="s">
        <v>32</v>
      </c>
      <c r="AO8" s="478"/>
    </row>
    <row r="9" spans="1:41" ht="63.75" customHeight="1">
      <c r="A9" s="133" t="s">
        <v>38</v>
      </c>
      <c r="B9" s="134"/>
      <c r="C9" s="134"/>
      <c r="D9" s="134" t="s">
        <v>28</v>
      </c>
      <c r="E9" s="135" t="s">
        <v>39</v>
      </c>
      <c r="F9" s="476"/>
      <c r="G9" s="476"/>
      <c r="H9" s="476"/>
      <c r="I9" s="477"/>
      <c r="J9" s="215"/>
      <c r="K9" s="116"/>
      <c r="L9" s="116"/>
      <c r="M9" s="116"/>
      <c r="N9" s="116"/>
      <c r="O9" s="214"/>
      <c r="P9" s="215"/>
      <c r="Q9" s="116"/>
      <c r="R9" s="116"/>
      <c r="S9" s="116"/>
      <c r="T9" s="117"/>
      <c r="U9" s="118"/>
      <c r="V9" s="119"/>
      <c r="W9" s="117"/>
      <c r="X9" s="117"/>
      <c r="Y9" s="117"/>
      <c r="Z9" s="117"/>
      <c r="AA9" s="118"/>
      <c r="AB9" s="325"/>
      <c r="AC9" s="117"/>
      <c r="AD9" s="117"/>
      <c r="AE9" s="117"/>
      <c r="AF9" s="117"/>
      <c r="AG9" s="118"/>
      <c r="AH9" s="120" t="str">
        <f>IFERROR(IF(COUNT(#REF!,J9,L9,N9)&gt;0,COUNT(M9,K9,#REF!,O9)/COUNT(#REF!,J9,L9,N9),"Sin Actividad"), "Sin Actividad")</f>
        <v>Sin Actividad</v>
      </c>
      <c r="AI9" s="121" t="str">
        <f t="shared" si="0"/>
        <v>Sin Actividad</v>
      </c>
      <c r="AJ9" s="121" t="str">
        <f t="shared" si="1"/>
        <v>Sin Actividad</v>
      </c>
      <c r="AK9" s="121" t="str">
        <f t="shared" si="2"/>
        <v>Sin Actividad</v>
      </c>
      <c r="AL9" s="121" t="str">
        <f t="shared" si="3"/>
        <v>Sin Actividad</v>
      </c>
      <c r="AM9" s="122" t="s">
        <v>32</v>
      </c>
      <c r="AN9" s="122" t="s">
        <v>32</v>
      </c>
      <c r="AO9" s="478"/>
    </row>
    <row r="10" spans="1:41" ht="53.45" customHeight="1">
      <c r="A10" s="136">
        <v>1</v>
      </c>
      <c r="B10" s="137" t="s">
        <v>28</v>
      </c>
      <c r="C10" s="137" t="s">
        <v>28</v>
      </c>
      <c r="D10" s="137" t="s">
        <v>28</v>
      </c>
      <c r="E10" s="137" t="s">
        <v>40</v>
      </c>
      <c r="F10" s="140" t="s">
        <v>41</v>
      </c>
      <c r="G10" s="137">
        <v>3</v>
      </c>
      <c r="H10" s="140" t="s">
        <v>42</v>
      </c>
      <c r="I10" s="139" t="s">
        <v>119</v>
      </c>
      <c r="J10" s="215">
        <v>12</v>
      </c>
      <c r="K10" s="116">
        <v>12</v>
      </c>
      <c r="L10" s="311">
        <v>17</v>
      </c>
      <c r="M10" s="116">
        <v>17</v>
      </c>
      <c r="N10" s="311">
        <v>5</v>
      </c>
      <c r="O10" s="214">
        <v>5</v>
      </c>
      <c r="P10" s="312">
        <v>6</v>
      </c>
      <c r="Q10" s="116">
        <v>6</v>
      </c>
      <c r="R10" s="311">
        <v>3</v>
      </c>
      <c r="S10" s="116">
        <v>3</v>
      </c>
      <c r="T10" s="311">
        <v>4</v>
      </c>
      <c r="U10" s="214">
        <v>4</v>
      </c>
      <c r="V10" s="312"/>
      <c r="W10" s="313"/>
      <c r="X10" s="313"/>
      <c r="Y10" s="313"/>
      <c r="Z10" s="313"/>
      <c r="AA10" s="314"/>
      <c r="AB10" s="327"/>
      <c r="AC10" s="313"/>
      <c r="AD10" s="313"/>
      <c r="AE10" s="313"/>
      <c r="AF10" s="313"/>
      <c r="AG10" s="314"/>
      <c r="AH10" s="120">
        <f>IFERROR(IF(SUM(J10,L10,N10)&gt;0,SUM(M10,K10,O10)/SUM(J10,L10,N10),"Sin Actividad"), "Sin Actividad")</f>
        <v>1</v>
      </c>
      <c r="AI10" s="121">
        <f>IFERROR(IF(SUM(P10,R10,T10)&gt;0,SUM(Q10,S10,U10)/SUM(P10,R10,T10),"Sin Actividad"), "Sin Actividad")</f>
        <v>1</v>
      </c>
      <c r="AJ10" s="121" t="str">
        <f t="shared" si="1"/>
        <v>Sin Actividad</v>
      </c>
      <c r="AK10" s="121" t="str">
        <f>IFERROR(IF(COUNT(AB10,AC10,AF10)&gt;0,COUNT(AB10,AD10,AG10)/COUNT(AB10,AC10,AE10),"Sin Actividad"), "Sin Actividad")</f>
        <v>Sin Actividad</v>
      </c>
      <c r="AL10" s="121">
        <f>IFERROR(AVERAGE(AH10:AK10),"Sin Actividad")</f>
        <v>1</v>
      </c>
      <c r="AM10" s="126" t="s">
        <v>32</v>
      </c>
      <c r="AN10" s="126" t="s">
        <v>32</v>
      </c>
      <c r="AO10" s="126" t="s">
        <v>43</v>
      </c>
    </row>
    <row r="11" spans="1:41" ht="53.45" customHeight="1">
      <c r="A11" s="136">
        <v>2</v>
      </c>
      <c r="B11" s="137" t="s">
        <v>28</v>
      </c>
      <c r="C11" s="137" t="s">
        <v>28</v>
      </c>
      <c r="D11" s="137" t="s">
        <v>28</v>
      </c>
      <c r="E11" s="137" t="s">
        <v>44</v>
      </c>
      <c r="F11" s="140" t="s">
        <v>45</v>
      </c>
      <c r="G11" s="137">
        <v>2</v>
      </c>
      <c r="H11" s="138" t="s">
        <v>46</v>
      </c>
      <c r="I11" s="139" t="s">
        <v>119</v>
      </c>
      <c r="J11" s="216">
        <v>7</v>
      </c>
      <c r="K11" s="116">
        <v>7</v>
      </c>
      <c r="L11" s="123">
        <v>3</v>
      </c>
      <c r="M11" s="116">
        <v>3</v>
      </c>
      <c r="N11" s="311">
        <v>4</v>
      </c>
      <c r="O11" s="214">
        <v>4</v>
      </c>
      <c r="P11" s="312">
        <v>2</v>
      </c>
      <c r="Q11" s="116">
        <v>2</v>
      </c>
      <c r="R11" s="311">
        <v>1</v>
      </c>
      <c r="S11" s="116">
        <v>1</v>
      </c>
      <c r="T11" s="311"/>
      <c r="U11" s="125"/>
      <c r="V11" s="312"/>
      <c r="W11" s="124"/>
      <c r="X11" s="124"/>
      <c r="Y11" s="124"/>
      <c r="Z11" s="124"/>
      <c r="AA11" s="125"/>
      <c r="AB11" s="328"/>
      <c r="AC11" s="124"/>
      <c r="AD11" s="124"/>
      <c r="AE11" s="124"/>
      <c r="AF11" s="124"/>
      <c r="AG11" s="125"/>
      <c r="AH11" s="120">
        <f t="shared" ref="AH11:AH25" si="4">IFERROR(IF(SUM(J11,L11,N11)&gt;0,SUM(M11,K11,O11)/SUM(J11,L11,N11),"Sin Actividad"), "Sin Actividad")</f>
        <v>1</v>
      </c>
      <c r="AI11" s="121">
        <f t="shared" ref="AI11:AI24" si="5">IFERROR(IF(SUM(P11,R11,T11)&gt;0,SUM(Q11,S11,U11)/SUM(P11,R11,T11),"Sin Actividad"), "Sin Actividad")</f>
        <v>1</v>
      </c>
      <c r="AJ11" s="121" t="str">
        <f t="shared" si="1"/>
        <v>Sin Actividad</v>
      </c>
      <c r="AK11" s="121" t="str">
        <f t="shared" si="2"/>
        <v>Sin Actividad</v>
      </c>
      <c r="AL11" s="121">
        <f t="shared" si="3"/>
        <v>1</v>
      </c>
      <c r="AM11" s="126" t="s">
        <v>32</v>
      </c>
      <c r="AN11" s="126" t="s">
        <v>32</v>
      </c>
      <c r="AO11" s="126" t="s">
        <v>43</v>
      </c>
    </row>
    <row r="12" spans="1:41" ht="53.45" customHeight="1">
      <c r="A12" s="136">
        <v>3</v>
      </c>
      <c r="B12" s="137" t="s">
        <v>28</v>
      </c>
      <c r="C12" s="137" t="s">
        <v>28</v>
      </c>
      <c r="D12" s="137" t="s">
        <v>28</v>
      </c>
      <c r="E12" s="137" t="s">
        <v>47</v>
      </c>
      <c r="F12" s="140" t="s">
        <v>48</v>
      </c>
      <c r="G12" s="137">
        <v>2</v>
      </c>
      <c r="H12" s="140" t="s">
        <v>49</v>
      </c>
      <c r="I12" s="139" t="s">
        <v>119</v>
      </c>
      <c r="J12" s="215">
        <v>12</v>
      </c>
      <c r="K12" s="116">
        <v>12</v>
      </c>
      <c r="L12" s="123">
        <v>17</v>
      </c>
      <c r="M12" s="116">
        <v>17</v>
      </c>
      <c r="N12" s="311">
        <v>5</v>
      </c>
      <c r="O12" s="214">
        <v>5</v>
      </c>
      <c r="P12" s="312">
        <v>6</v>
      </c>
      <c r="Q12" s="116">
        <v>6</v>
      </c>
      <c r="R12" s="311">
        <v>3</v>
      </c>
      <c r="S12" s="116">
        <v>3</v>
      </c>
      <c r="T12" s="311">
        <v>4</v>
      </c>
      <c r="U12" s="214">
        <v>4</v>
      </c>
      <c r="V12" s="312"/>
      <c r="W12" s="124"/>
      <c r="X12" s="124"/>
      <c r="Y12" s="124"/>
      <c r="Z12" s="124"/>
      <c r="AA12" s="125"/>
      <c r="AB12" s="328"/>
      <c r="AC12" s="124"/>
      <c r="AD12" s="124"/>
      <c r="AE12" s="124"/>
      <c r="AF12" s="124"/>
      <c r="AG12" s="125"/>
      <c r="AH12" s="120">
        <f t="shared" si="4"/>
        <v>1</v>
      </c>
      <c r="AI12" s="121">
        <f t="shared" si="5"/>
        <v>1</v>
      </c>
      <c r="AJ12" s="121" t="str">
        <f t="shared" si="1"/>
        <v>Sin Actividad</v>
      </c>
      <c r="AK12" s="121" t="str">
        <f t="shared" si="2"/>
        <v>Sin Actividad</v>
      </c>
      <c r="AL12" s="121">
        <f t="shared" si="3"/>
        <v>1</v>
      </c>
      <c r="AM12" s="126" t="s">
        <v>32</v>
      </c>
      <c r="AN12" s="126" t="s">
        <v>32</v>
      </c>
      <c r="AO12" s="126" t="s">
        <v>43</v>
      </c>
    </row>
    <row r="13" spans="1:41" ht="53.45" customHeight="1">
      <c r="A13" s="136">
        <v>4</v>
      </c>
      <c r="B13" s="137" t="s">
        <v>28</v>
      </c>
      <c r="C13" s="137" t="s">
        <v>28</v>
      </c>
      <c r="D13" s="137" t="s">
        <v>28</v>
      </c>
      <c r="E13" s="137" t="s">
        <v>55</v>
      </c>
      <c r="F13" s="140" t="s">
        <v>56</v>
      </c>
      <c r="G13" s="137">
        <v>2</v>
      </c>
      <c r="H13" s="138" t="s">
        <v>57</v>
      </c>
      <c r="I13" s="139" t="s">
        <v>119</v>
      </c>
      <c r="J13" s="216"/>
      <c r="K13" s="123"/>
      <c r="L13" s="123">
        <v>2</v>
      </c>
      <c r="M13" s="116">
        <v>2</v>
      </c>
      <c r="N13" s="311">
        <v>2</v>
      </c>
      <c r="O13" s="214">
        <v>2</v>
      </c>
      <c r="P13" s="312">
        <v>15</v>
      </c>
      <c r="Q13" s="116">
        <v>15</v>
      </c>
      <c r="R13" s="311">
        <v>1</v>
      </c>
      <c r="S13" s="116">
        <v>1</v>
      </c>
      <c r="T13" s="311"/>
      <c r="U13" s="125"/>
      <c r="V13" s="312"/>
      <c r="W13" s="124"/>
      <c r="X13" s="124"/>
      <c r="Y13" s="124"/>
      <c r="Z13" s="124"/>
      <c r="AA13" s="125"/>
      <c r="AB13" s="328"/>
      <c r="AC13" s="124"/>
      <c r="AD13" s="124"/>
      <c r="AE13" s="124"/>
      <c r="AF13" s="124"/>
      <c r="AG13" s="125"/>
      <c r="AH13" s="120">
        <f t="shared" si="4"/>
        <v>1</v>
      </c>
      <c r="AI13" s="121">
        <f t="shared" si="5"/>
        <v>1</v>
      </c>
      <c r="AJ13" s="121" t="str">
        <f>IFERROR(IF(COUNT(V13,X13,Z13)&gt;0,COUNT(AA13,Y13,W13)/COUNT(V13,X13,Z13),"Sin Actividad"), "Sin Actividad")</f>
        <v>Sin Actividad</v>
      </c>
      <c r="AK13" s="121" t="str">
        <f>IFERROR(IF(COUNT(AB13,AC13,AF13)&gt;0,COUNT(AB13,AD13,AG13)/COUNT(AB13,AC13,AE13),"Sin Actividad"), "Sin Actividad")</f>
        <v>Sin Actividad</v>
      </c>
      <c r="AL13" s="121">
        <f>IFERROR(AVERAGE(AH13:AK13),"Sin Actividad")</f>
        <v>1</v>
      </c>
      <c r="AM13" s="126" t="s">
        <v>32</v>
      </c>
      <c r="AN13" s="126" t="s">
        <v>32</v>
      </c>
      <c r="AO13" s="126" t="s">
        <v>43</v>
      </c>
    </row>
    <row r="14" spans="1:41" ht="53.45" customHeight="1">
      <c r="A14" s="136">
        <v>5</v>
      </c>
      <c r="B14" s="137" t="s">
        <v>28</v>
      </c>
      <c r="C14" s="137" t="s">
        <v>28</v>
      </c>
      <c r="D14" s="137" t="s">
        <v>28</v>
      </c>
      <c r="E14" s="137" t="s">
        <v>187</v>
      </c>
      <c r="F14" s="140" t="s">
        <v>196</v>
      </c>
      <c r="G14" s="137">
        <v>2</v>
      </c>
      <c r="H14" s="138" t="s">
        <v>220</v>
      </c>
      <c r="I14" s="139" t="s">
        <v>221</v>
      </c>
      <c r="J14" s="216"/>
      <c r="K14" s="123"/>
      <c r="L14" s="123">
        <v>36</v>
      </c>
      <c r="M14" s="116">
        <v>36</v>
      </c>
      <c r="N14" s="311"/>
      <c r="O14" s="322"/>
      <c r="P14" s="312"/>
      <c r="Q14" s="123"/>
      <c r="R14" s="311"/>
      <c r="S14" s="123"/>
      <c r="T14" s="311"/>
      <c r="U14" s="125"/>
      <c r="V14" s="312"/>
      <c r="W14" s="124"/>
      <c r="X14" s="124"/>
      <c r="Y14" s="124"/>
      <c r="Z14" s="124"/>
      <c r="AA14" s="125"/>
      <c r="AB14" s="328"/>
      <c r="AC14" s="124"/>
      <c r="AD14" s="124"/>
      <c r="AE14" s="124"/>
      <c r="AF14" s="124"/>
      <c r="AG14" s="125"/>
      <c r="AH14" s="120">
        <f t="shared" si="4"/>
        <v>1</v>
      </c>
      <c r="AI14" s="121" t="str">
        <f t="shared" si="5"/>
        <v>Sin Actividad</v>
      </c>
      <c r="AJ14" s="121" t="str">
        <f t="shared" si="1"/>
        <v>Sin Actividad</v>
      </c>
      <c r="AK14" s="121" t="str">
        <f t="shared" si="2"/>
        <v>Sin Actividad</v>
      </c>
      <c r="AL14" s="121">
        <f t="shared" si="3"/>
        <v>1</v>
      </c>
      <c r="AM14" s="126" t="s">
        <v>32</v>
      </c>
      <c r="AN14" s="126" t="s">
        <v>32</v>
      </c>
      <c r="AO14" s="126" t="s">
        <v>43</v>
      </c>
    </row>
    <row r="15" spans="1:41" ht="53.45" customHeight="1">
      <c r="A15" s="136">
        <v>6</v>
      </c>
      <c r="B15" s="137" t="s">
        <v>28</v>
      </c>
      <c r="C15" s="137" t="s">
        <v>28</v>
      </c>
      <c r="D15" s="137"/>
      <c r="E15" s="137" t="s">
        <v>351</v>
      </c>
      <c r="F15" s="138" t="s">
        <v>400</v>
      </c>
      <c r="G15" s="137">
        <v>8</v>
      </c>
      <c r="H15" s="140" t="s">
        <v>399</v>
      </c>
      <c r="I15" s="139" t="s">
        <v>119</v>
      </c>
      <c r="J15" s="216"/>
      <c r="K15" s="123"/>
      <c r="L15" s="123"/>
      <c r="M15" s="213"/>
      <c r="N15" s="311">
        <v>37</v>
      </c>
      <c r="O15" s="214">
        <v>37</v>
      </c>
      <c r="P15" s="312"/>
      <c r="Q15" s="123"/>
      <c r="R15" s="311"/>
      <c r="S15" s="123"/>
      <c r="T15" s="311"/>
      <c r="U15" s="125"/>
      <c r="V15" s="312"/>
      <c r="W15" s="124"/>
      <c r="X15" s="124"/>
      <c r="Y15" s="124"/>
      <c r="Z15" s="124"/>
      <c r="AA15" s="125"/>
      <c r="AB15" s="328"/>
      <c r="AC15" s="124"/>
      <c r="AD15" s="124"/>
      <c r="AE15" s="124"/>
      <c r="AF15" s="124"/>
      <c r="AG15" s="125"/>
      <c r="AH15" s="120">
        <f t="shared" si="4"/>
        <v>1</v>
      </c>
      <c r="AI15" s="121" t="str">
        <f t="shared" si="5"/>
        <v>Sin Actividad</v>
      </c>
      <c r="AJ15" s="121" t="str">
        <f t="shared" si="1"/>
        <v>Sin Actividad</v>
      </c>
      <c r="AK15" s="121" t="str">
        <f t="shared" si="2"/>
        <v>Sin Actividad</v>
      </c>
      <c r="AL15" s="121">
        <f t="shared" si="3"/>
        <v>1</v>
      </c>
      <c r="AM15" s="126" t="s">
        <v>32</v>
      </c>
      <c r="AN15" s="126" t="s">
        <v>32</v>
      </c>
      <c r="AO15" s="126" t="s">
        <v>43</v>
      </c>
    </row>
    <row r="16" spans="1:41" ht="53.45" customHeight="1">
      <c r="A16" s="136">
        <v>7</v>
      </c>
      <c r="B16" s="137" t="s">
        <v>28</v>
      </c>
      <c r="C16" s="137" t="s">
        <v>28</v>
      </c>
      <c r="D16" s="137"/>
      <c r="E16" s="137" t="s">
        <v>384</v>
      </c>
      <c r="F16" s="140" t="s">
        <v>386</v>
      </c>
      <c r="G16" s="137">
        <v>2</v>
      </c>
      <c r="H16" s="140" t="s">
        <v>385</v>
      </c>
      <c r="I16" s="139" t="s">
        <v>119</v>
      </c>
      <c r="J16" s="216"/>
      <c r="K16" s="123"/>
      <c r="L16" s="123"/>
      <c r="M16" s="213"/>
      <c r="N16" s="311"/>
      <c r="O16" s="323"/>
      <c r="P16" s="312"/>
      <c r="Q16" s="123"/>
      <c r="R16" s="311"/>
      <c r="S16" s="123"/>
      <c r="T16" s="311">
        <v>21</v>
      </c>
      <c r="U16" s="214">
        <v>21</v>
      </c>
      <c r="V16" s="312">
        <v>11</v>
      </c>
      <c r="W16" s="124"/>
      <c r="X16" s="124"/>
      <c r="Y16" s="124"/>
      <c r="Z16" s="124"/>
      <c r="AA16" s="125"/>
      <c r="AB16" s="328"/>
      <c r="AC16" s="124"/>
      <c r="AD16" s="124"/>
      <c r="AE16" s="124"/>
      <c r="AF16" s="124"/>
      <c r="AG16" s="125"/>
      <c r="AH16" s="120" t="str">
        <f t="shared" si="4"/>
        <v>Sin Actividad</v>
      </c>
      <c r="AI16" s="121">
        <f t="shared" si="5"/>
        <v>1</v>
      </c>
      <c r="AJ16" s="121">
        <f t="shared" si="1"/>
        <v>0</v>
      </c>
      <c r="AK16" s="121" t="str">
        <f t="shared" si="2"/>
        <v>Sin Actividad</v>
      </c>
      <c r="AL16" s="121">
        <f t="shared" si="3"/>
        <v>0.5</v>
      </c>
      <c r="AM16" s="126" t="s">
        <v>32</v>
      </c>
      <c r="AN16" s="126" t="s">
        <v>32</v>
      </c>
      <c r="AO16" s="126" t="s">
        <v>43</v>
      </c>
    </row>
    <row r="17" spans="1:41" ht="53.45" customHeight="1">
      <c r="A17" s="136">
        <v>8</v>
      </c>
      <c r="B17" s="137" t="s">
        <v>28</v>
      </c>
      <c r="C17" s="137" t="s">
        <v>28</v>
      </c>
      <c r="D17" s="137"/>
      <c r="E17" s="137" t="s">
        <v>222</v>
      </c>
      <c r="F17" s="140" t="s">
        <v>223</v>
      </c>
      <c r="G17" s="137">
        <v>8</v>
      </c>
      <c r="H17" s="140" t="s">
        <v>318</v>
      </c>
      <c r="I17" s="139" t="s">
        <v>119</v>
      </c>
      <c r="J17" s="216"/>
      <c r="K17" s="123"/>
      <c r="L17" s="123"/>
      <c r="M17" s="123"/>
      <c r="N17" s="311"/>
      <c r="O17" s="322"/>
      <c r="P17" s="312"/>
      <c r="Q17" s="123"/>
      <c r="R17" s="311"/>
      <c r="S17" s="123"/>
      <c r="T17" s="311"/>
      <c r="U17" s="125"/>
      <c r="V17" s="312"/>
      <c r="W17" s="124"/>
      <c r="X17" s="124"/>
      <c r="Y17" s="124"/>
      <c r="Z17" s="124"/>
      <c r="AA17" s="125"/>
      <c r="AB17" s="328"/>
      <c r="AC17" s="124"/>
      <c r="AD17" s="124"/>
      <c r="AE17" s="124"/>
      <c r="AF17" s="124"/>
      <c r="AG17" s="125"/>
      <c r="AH17" s="120" t="str">
        <f t="shared" si="4"/>
        <v>Sin Actividad</v>
      </c>
      <c r="AI17" s="121" t="str">
        <f t="shared" si="5"/>
        <v>Sin Actividad</v>
      </c>
      <c r="AJ17" s="121" t="str">
        <f t="shared" si="1"/>
        <v>Sin Actividad</v>
      </c>
      <c r="AK17" s="121" t="str">
        <f t="shared" si="2"/>
        <v>Sin Actividad</v>
      </c>
      <c r="AL17" s="121" t="str">
        <f t="shared" si="3"/>
        <v>Sin Actividad</v>
      </c>
      <c r="AM17" s="126" t="s">
        <v>32</v>
      </c>
      <c r="AN17" s="126" t="s">
        <v>32</v>
      </c>
      <c r="AO17" s="126" t="s">
        <v>43</v>
      </c>
    </row>
    <row r="18" spans="1:41" ht="53.45" customHeight="1">
      <c r="A18" s="136">
        <v>9</v>
      </c>
      <c r="B18" s="137" t="s">
        <v>28</v>
      </c>
      <c r="C18" s="137" t="s">
        <v>28</v>
      </c>
      <c r="D18" s="137"/>
      <c r="E18" s="137" t="s">
        <v>120</v>
      </c>
      <c r="F18" s="140" t="s">
        <v>224</v>
      </c>
      <c r="G18" s="137">
        <v>8</v>
      </c>
      <c r="H18" s="140" t="s">
        <v>225</v>
      </c>
      <c r="I18" s="139" t="s">
        <v>119</v>
      </c>
      <c r="J18" s="216"/>
      <c r="K18" s="123"/>
      <c r="L18" s="123"/>
      <c r="M18" s="123"/>
      <c r="N18" s="311"/>
      <c r="O18" s="322"/>
      <c r="P18" s="312"/>
      <c r="Q18" s="123"/>
      <c r="R18" s="311"/>
      <c r="S18" s="123"/>
      <c r="T18" s="311"/>
      <c r="U18" s="125"/>
      <c r="V18" s="312"/>
      <c r="W18" s="124"/>
      <c r="X18" s="124"/>
      <c r="Y18" s="124"/>
      <c r="Z18" s="124"/>
      <c r="AA18" s="125"/>
      <c r="AB18" s="328"/>
      <c r="AC18" s="124"/>
      <c r="AD18" s="124"/>
      <c r="AE18" s="124"/>
      <c r="AF18" s="124"/>
      <c r="AG18" s="125"/>
      <c r="AH18" s="120" t="str">
        <f t="shared" si="4"/>
        <v>Sin Actividad</v>
      </c>
      <c r="AI18" s="121" t="str">
        <f t="shared" si="5"/>
        <v>Sin Actividad</v>
      </c>
      <c r="AJ18" s="121" t="str">
        <f t="shared" si="1"/>
        <v>Sin Actividad</v>
      </c>
      <c r="AK18" s="121" t="str">
        <f t="shared" si="2"/>
        <v>Sin Actividad</v>
      </c>
      <c r="AL18" s="121" t="str">
        <f t="shared" si="3"/>
        <v>Sin Actividad</v>
      </c>
      <c r="AM18" s="126" t="s">
        <v>32</v>
      </c>
      <c r="AN18" s="126" t="s">
        <v>32</v>
      </c>
      <c r="AO18" s="126" t="s">
        <v>43</v>
      </c>
    </row>
    <row r="19" spans="1:41" ht="53.45" customHeight="1">
      <c r="A19" s="136">
        <v>10</v>
      </c>
      <c r="B19" s="137" t="s">
        <v>28</v>
      </c>
      <c r="C19" s="137" t="s">
        <v>28</v>
      </c>
      <c r="D19" s="137"/>
      <c r="E19" s="137" t="s">
        <v>54</v>
      </c>
      <c r="F19" s="140" t="s">
        <v>226</v>
      </c>
      <c r="G19" s="137">
        <v>8</v>
      </c>
      <c r="H19" s="140" t="s">
        <v>227</v>
      </c>
      <c r="I19" s="139" t="s">
        <v>119</v>
      </c>
      <c r="J19" s="216"/>
      <c r="K19" s="123"/>
      <c r="L19" s="123"/>
      <c r="M19" s="123"/>
      <c r="N19" s="311"/>
      <c r="O19" s="322"/>
      <c r="P19" s="312"/>
      <c r="Q19" s="123"/>
      <c r="R19" s="311"/>
      <c r="S19" s="123"/>
      <c r="T19" s="311"/>
      <c r="U19" s="125"/>
      <c r="V19" s="312"/>
      <c r="W19" s="124"/>
      <c r="X19" s="124"/>
      <c r="Y19" s="124"/>
      <c r="Z19" s="124"/>
      <c r="AA19" s="125"/>
      <c r="AB19" s="328"/>
      <c r="AC19" s="124"/>
      <c r="AD19" s="124"/>
      <c r="AE19" s="124"/>
      <c r="AF19" s="124"/>
      <c r="AG19" s="125"/>
      <c r="AH19" s="120" t="str">
        <f t="shared" si="4"/>
        <v>Sin Actividad</v>
      </c>
      <c r="AI19" s="121" t="str">
        <f t="shared" si="5"/>
        <v>Sin Actividad</v>
      </c>
      <c r="AJ19" s="121" t="str">
        <f t="shared" si="1"/>
        <v>Sin Actividad</v>
      </c>
      <c r="AK19" s="121" t="str">
        <f t="shared" si="2"/>
        <v>Sin Actividad</v>
      </c>
      <c r="AL19" s="121" t="str">
        <f t="shared" si="3"/>
        <v>Sin Actividad</v>
      </c>
      <c r="AM19" s="126" t="s">
        <v>32</v>
      </c>
      <c r="AN19" s="126" t="s">
        <v>32</v>
      </c>
      <c r="AO19" s="126" t="s">
        <v>43</v>
      </c>
    </row>
    <row r="20" spans="1:41" ht="53.45" customHeight="1">
      <c r="A20" s="136">
        <v>11</v>
      </c>
      <c r="B20" s="137"/>
      <c r="C20" s="137" t="s">
        <v>28</v>
      </c>
      <c r="D20" s="137"/>
      <c r="E20" s="137" t="s">
        <v>115</v>
      </c>
      <c r="F20" s="140" t="s">
        <v>59</v>
      </c>
      <c r="G20" s="137">
        <v>32</v>
      </c>
      <c r="H20" s="138" t="s">
        <v>58</v>
      </c>
      <c r="I20" s="139" t="s">
        <v>123</v>
      </c>
      <c r="J20" s="215">
        <v>1</v>
      </c>
      <c r="K20" s="116">
        <v>1</v>
      </c>
      <c r="L20" s="116">
        <v>4</v>
      </c>
      <c r="M20" s="116">
        <v>4</v>
      </c>
      <c r="N20" s="311"/>
      <c r="O20" s="322"/>
      <c r="P20" s="312"/>
      <c r="Q20" s="123"/>
      <c r="R20" s="311">
        <v>1</v>
      </c>
      <c r="S20" s="116">
        <v>1</v>
      </c>
      <c r="T20" s="311"/>
      <c r="U20" s="125"/>
      <c r="V20" s="312"/>
      <c r="W20" s="124"/>
      <c r="X20" s="124"/>
      <c r="Y20" s="124"/>
      <c r="Z20" s="124"/>
      <c r="AA20" s="125"/>
      <c r="AB20" s="328"/>
      <c r="AC20" s="124"/>
      <c r="AD20" s="124"/>
      <c r="AE20" s="124"/>
      <c r="AF20" s="124"/>
      <c r="AG20" s="125"/>
      <c r="AH20" s="120">
        <f t="shared" si="4"/>
        <v>1</v>
      </c>
      <c r="AI20" s="121">
        <f t="shared" si="5"/>
        <v>1</v>
      </c>
      <c r="AJ20" s="121" t="str">
        <f t="shared" si="1"/>
        <v>Sin Actividad</v>
      </c>
      <c r="AK20" s="121" t="str">
        <f t="shared" si="2"/>
        <v>Sin Actividad</v>
      </c>
      <c r="AL20" s="121">
        <f t="shared" si="3"/>
        <v>1</v>
      </c>
      <c r="AM20" s="126" t="s">
        <v>32</v>
      </c>
      <c r="AN20" s="126" t="s">
        <v>32</v>
      </c>
      <c r="AO20" s="126" t="s">
        <v>43</v>
      </c>
    </row>
    <row r="21" spans="1:41" ht="53.45" customHeight="1">
      <c r="A21" s="136">
        <v>12</v>
      </c>
      <c r="B21" s="137"/>
      <c r="C21" s="137" t="s">
        <v>28</v>
      </c>
      <c r="D21" s="137"/>
      <c r="E21" s="137" t="s">
        <v>243</v>
      </c>
      <c r="F21" s="140" t="s">
        <v>62</v>
      </c>
      <c r="G21" s="137">
        <v>8</v>
      </c>
      <c r="H21" s="138" t="s">
        <v>61</v>
      </c>
      <c r="I21" s="139" t="s">
        <v>124</v>
      </c>
      <c r="J21" s="216"/>
      <c r="K21" s="123"/>
      <c r="L21" s="116">
        <v>4</v>
      </c>
      <c r="M21" s="116">
        <v>4</v>
      </c>
      <c r="N21" s="311">
        <v>1</v>
      </c>
      <c r="O21" s="214">
        <v>1</v>
      </c>
      <c r="P21" s="312"/>
      <c r="Q21" s="123"/>
      <c r="R21" s="311">
        <v>1</v>
      </c>
      <c r="S21" s="116">
        <v>1</v>
      </c>
      <c r="T21" s="311"/>
      <c r="U21" s="125"/>
      <c r="V21" s="312"/>
      <c r="W21" s="124"/>
      <c r="X21" s="124"/>
      <c r="Y21" s="124"/>
      <c r="Z21" s="124"/>
      <c r="AA21" s="125"/>
      <c r="AB21" s="328"/>
      <c r="AC21" s="124"/>
      <c r="AD21" s="124"/>
      <c r="AE21" s="124"/>
      <c r="AF21" s="124"/>
      <c r="AG21" s="125"/>
      <c r="AH21" s="120">
        <f t="shared" si="4"/>
        <v>1</v>
      </c>
      <c r="AI21" s="121">
        <f t="shared" si="5"/>
        <v>1</v>
      </c>
      <c r="AJ21" s="121" t="str">
        <f t="shared" si="1"/>
        <v>Sin Actividad</v>
      </c>
      <c r="AK21" s="121" t="str">
        <f t="shared" si="2"/>
        <v>Sin Actividad</v>
      </c>
      <c r="AL21" s="121">
        <f t="shared" si="3"/>
        <v>1</v>
      </c>
      <c r="AM21" s="126" t="s">
        <v>32</v>
      </c>
      <c r="AN21" s="126" t="s">
        <v>32</v>
      </c>
      <c r="AO21" s="126" t="s">
        <v>43</v>
      </c>
    </row>
    <row r="22" spans="1:41" ht="53.45" customHeight="1">
      <c r="A22" s="136">
        <v>13</v>
      </c>
      <c r="B22" s="137"/>
      <c r="C22" s="137" t="s">
        <v>28</v>
      </c>
      <c r="D22" s="137"/>
      <c r="E22" s="137" t="s">
        <v>188</v>
      </c>
      <c r="F22" s="140" t="s">
        <v>228</v>
      </c>
      <c r="G22" s="137">
        <v>8</v>
      </c>
      <c r="H22" s="140" t="s">
        <v>229</v>
      </c>
      <c r="I22" s="139" t="s">
        <v>230</v>
      </c>
      <c r="J22" s="215">
        <v>1</v>
      </c>
      <c r="K22" s="116">
        <v>1</v>
      </c>
      <c r="L22" s="116">
        <v>3</v>
      </c>
      <c r="M22" s="116">
        <v>3</v>
      </c>
      <c r="N22" s="311">
        <v>3</v>
      </c>
      <c r="O22" s="214">
        <v>3</v>
      </c>
      <c r="P22" s="312"/>
      <c r="Q22" s="123"/>
      <c r="R22" s="311">
        <v>1</v>
      </c>
      <c r="S22" s="116">
        <v>1</v>
      </c>
      <c r="T22" s="311">
        <v>1</v>
      </c>
      <c r="U22" s="214">
        <v>1</v>
      </c>
      <c r="V22" s="312">
        <v>1</v>
      </c>
      <c r="W22" s="116">
        <v>1</v>
      </c>
      <c r="X22" s="124"/>
      <c r="Y22" s="124"/>
      <c r="Z22" s="124"/>
      <c r="AA22" s="125"/>
      <c r="AB22" s="328"/>
      <c r="AC22" s="124"/>
      <c r="AD22" s="124"/>
      <c r="AE22" s="124"/>
      <c r="AF22" s="124"/>
      <c r="AG22" s="125"/>
      <c r="AH22" s="120">
        <f>IFERROR(IF(SUM(J22,L22,N22)&gt;0,SUM(M22,K22,O22)/SUM(J22,L22,N22),"Sin Actividad"), "Sin Actividad")</f>
        <v>1</v>
      </c>
      <c r="AI22" s="121">
        <f t="shared" si="5"/>
        <v>1</v>
      </c>
      <c r="AJ22" s="121">
        <f t="shared" si="1"/>
        <v>1</v>
      </c>
      <c r="AK22" s="121" t="str">
        <f t="shared" si="2"/>
        <v>Sin Actividad</v>
      </c>
      <c r="AL22" s="121">
        <f>IFERROR(AVERAGE(AH22:AK22),"Sin Actividad")</f>
        <v>1</v>
      </c>
      <c r="AM22" s="126" t="s">
        <v>32</v>
      </c>
      <c r="AN22" s="126" t="s">
        <v>32</v>
      </c>
      <c r="AO22" s="126" t="s">
        <v>43</v>
      </c>
    </row>
    <row r="23" spans="1:41" ht="53.45" customHeight="1">
      <c r="A23" s="136">
        <v>14</v>
      </c>
      <c r="B23" s="137"/>
      <c r="C23" s="137" t="s">
        <v>28</v>
      </c>
      <c r="D23" s="137"/>
      <c r="E23" s="137" t="s">
        <v>319</v>
      </c>
      <c r="F23" s="140" t="s">
        <v>64</v>
      </c>
      <c r="G23" s="137">
        <v>8</v>
      </c>
      <c r="H23" s="138" t="s">
        <v>63</v>
      </c>
      <c r="I23" s="139" t="s">
        <v>124</v>
      </c>
      <c r="J23" s="216"/>
      <c r="K23" s="123"/>
      <c r="L23" s="116">
        <v>9</v>
      </c>
      <c r="M23" s="116">
        <v>9</v>
      </c>
      <c r="N23" s="311"/>
      <c r="O23" s="322"/>
      <c r="P23" s="312">
        <v>6</v>
      </c>
      <c r="Q23" s="116">
        <v>6</v>
      </c>
      <c r="R23" s="311">
        <v>4</v>
      </c>
      <c r="S23" s="116">
        <v>4</v>
      </c>
      <c r="T23" s="311">
        <v>2</v>
      </c>
      <c r="U23" s="214">
        <v>2</v>
      </c>
      <c r="V23" s="312"/>
      <c r="W23" s="124"/>
      <c r="X23" s="124"/>
      <c r="Y23" s="124"/>
      <c r="Z23" s="124"/>
      <c r="AA23" s="125"/>
      <c r="AB23" s="328"/>
      <c r="AC23" s="124"/>
      <c r="AD23" s="124"/>
      <c r="AE23" s="124"/>
      <c r="AF23" s="124"/>
      <c r="AG23" s="125"/>
      <c r="AH23" s="120">
        <f>IFERROR(IF(SUM(J23,L23,N23)&gt;0,SUM(M23,K23,O23)/SUM(J23,L23,N23),"Sin Actividad"), "Sin Actividad")</f>
        <v>1</v>
      </c>
      <c r="AI23" s="121">
        <f t="shared" si="5"/>
        <v>1</v>
      </c>
      <c r="AJ23" s="121" t="str">
        <f t="shared" si="1"/>
        <v>Sin Actividad</v>
      </c>
      <c r="AK23" s="121" t="str">
        <f t="shared" si="2"/>
        <v>Sin Actividad</v>
      </c>
      <c r="AL23" s="121">
        <f t="shared" si="3"/>
        <v>1</v>
      </c>
      <c r="AM23" s="126" t="s">
        <v>32</v>
      </c>
      <c r="AN23" s="126" t="s">
        <v>32</v>
      </c>
      <c r="AO23" s="126" t="s">
        <v>43</v>
      </c>
    </row>
    <row r="24" spans="1:41" ht="64.5" customHeight="1">
      <c r="A24" s="136">
        <v>15</v>
      </c>
      <c r="B24" s="137" t="s">
        <v>28</v>
      </c>
      <c r="C24" s="137" t="s">
        <v>28</v>
      </c>
      <c r="D24" s="137" t="s">
        <v>28</v>
      </c>
      <c r="E24" s="137" t="s">
        <v>189</v>
      </c>
      <c r="F24" s="140" t="s">
        <v>231</v>
      </c>
      <c r="G24" s="137">
        <v>4</v>
      </c>
      <c r="H24" s="138" t="s">
        <v>232</v>
      </c>
      <c r="I24" s="139" t="s">
        <v>153</v>
      </c>
      <c r="J24" s="215">
        <v>18</v>
      </c>
      <c r="K24" s="116">
        <v>18</v>
      </c>
      <c r="L24" s="116">
        <v>11</v>
      </c>
      <c r="M24" s="116">
        <v>11</v>
      </c>
      <c r="N24" s="311">
        <v>6</v>
      </c>
      <c r="O24" s="214">
        <v>6</v>
      </c>
      <c r="P24" s="312">
        <v>7</v>
      </c>
      <c r="Q24" s="116">
        <v>7</v>
      </c>
      <c r="R24" s="311">
        <v>1</v>
      </c>
      <c r="S24" s="116">
        <v>1</v>
      </c>
      <c r="T24" s="311">
        <v>1</v>
      </c>
      <c r="U24" s="214">
        <v>1</v>
      </c>
      <c r="V24" s="312"/>
      <c r="W24" s="124"/>
      <c r="X24" s="124"/>
      <c r="Y24" s="124"/>
      <c r="Z24" s="124"/>
      <c r="AA24" s="125"/>
      <c r="AB24" s="328"/>
      <c r="AC24" s="124"/>
      <c r="AD24" s="124"/>
      <c r="AE24" s="124"/>
      <c r="AF24" s="124"/>
      <c r="AG24" s="125"/>
      <c r="AH24" s="120">
        <f>IFERROR(IF(SUM(J24,L24,N24)&gt;0,SUM(M24,K24,O24)/SUM(J24,L24,N24),"Sin Actividad"), "Sin Actividad")</f>
        <v>1</v>
      </c>
      <c r="AI24" s="121">
        <f t="shared" si="5"/>
        <v>1</v>
      </c>
      <c r="AJ24" s="121" t="str">
        <f t="shared" si="1"/>
        <v>Sin Actividad</v>
      </c>
      <c r="AK24" s="121" t="str">
        <f t="shared" si="2"/>
        <v>Sin Actividad</v>
      </c>
      <c r="AL24" s="121">
        <f t="shared" si="3"/>
        <v>1</v>
      </c>
      <c r="AM24" s="126" t="s">
        <v>32</v>
      </c>
      <c r="AN24" s="126" t="s">
        <v>32</v>
      </c>
      <c r="AO24" s="126" t="s">
        <v>43</v>
      </c>
    </row>
    <row r="25" spans="1:41" ht="75.2" customHeight="1" thickBot="1">
      <c r="A25" s="136">
        <v>16</v>
      </c>
      <c r="B25" s="137"/>
      <c r="C25" s="137" t="s">
        <v>28</v>
      </c>
      <c r="D25" s="137"/>
      <c r="E25" s="137" t="s">
        <v>190</v>
      </c>
      <c r="F25" s="140" t="s">
        <v>233</v>
      </c>
      <c r="G25" s="137">
        <v>32</v>
      </c>
      <c r="H25" s="138" t="s">
        <v>234</v>
      </c>
      <c r="I25" s="139" t="s">
        <v>153</v>
      </c>
      <c r="J25" s="319">
        <v>13</v>
      </c>
      <c r="K25" s="259">
        <v>13</v>
      </c>
      <c r="L25" s="259">
        <v>10</v>
      </c>
      <c r="M25" s="259">
        <v>10</v>
      </c>
      <c r="N25" s="320">
        <v>3</v>
      </c>
      <c r="O25" s="260">
        <v>3</v>
      </c>
      <c r="P25" s="326">
        <v>3</v>
      </c>
      <c r="Q25" s="259">
        <v>3</v>
      </c>
      <c r="R25" s="320">
        <v>2</v>
      </c>
      <c r="S25" s="259">
        <v>2</v>
      </c>
      <c r="T25" s="320">
        <v>1</v>
      </c>
      <c r="U25" s="260">
        <v>1</v>
      </c>
      <c r="V25" s="326"/>
      <c r="W25" s="127"/>
      <c r="X25" s="127"/>
      <c r="Y25" s="127"/>
      <c r="Z25" s="127"/>
      <c r="AA25" s="128"/>
      <c r="AB25" s="329"/>
      <c r="AC25" s="127"/>
      <c r="AD25" s="127"/>
      <c r="AE25" s="127"/>
      <c r="AF25" s="127"/>
      <c r="AG25" s="128"/>
      <c r="AH25" s="120">
        <f t="shared" si="4"/>
        <v>1</v>
      </c>
      <c r="AI25" s="121">
        <f>IFERROR(IF(SUM(P25,R25,T25)&gt;0,SUM(Q25,S25,U25)/SUM(P25,R25,T25),"Sin Actividad"), "Sin Actividad")</f>
        <v>1</v>
      </c>
      <c r="AJ25" s="121" t="str">
        <f t="shared" si="1"/>
        <v>Sin Actividad</v>
      </c>
      <c r="AK25" s="121" t="str">
        <f t="shared" si="2"/>
        <v>Sin Actividad</v>
      </c>
      <c r="AL25" s="121">
        <f t="shared" si="3"/>
        <v>1</v>
      </c>
      <c r="AM25" s="126" t="s">
        <v>32</v>
      </c>
      <c r="AN25" s="126" t="s">
        <v>32</v>
      </c>
      <c r="AO25" s="126" t="s">
        <v>43</v>
      </c>
    </row>
    <row r="26" spans="1:41">
      <c r="A26" s="129"/>
      <c r="B26" s="130"/>
      <c r="C26" s="130"/>
      <c r="D26" s="129"/>
      <c r="E26" s="129"/>
      <c r="F26" s="129"/>
      <c r="G26" s="129"/>
      <c r="H26" s="129"/>
      <c r="I26" s="131"/>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30"/>
      <c r="AI26" s="130"/>
      <c r="AJ26" s="130"/>
      <c r="AK26" s="130"/>
      <c r="AL26" s="130"/>
      <c r="AM26" s="129"/>
      <c r="AN26" s="129"/>
      <c r="AO26" s="129"/>
    </row>
    <row r="27" spans="1:41" ht="15.75" thickBot="1">
      <c r="A27" s="129"/>
      <c r="B27" s="130"/>
      <c r="C27" s="130"/>
      <c r="D27" s="129"/>
      <c r="E27" s="129"/>
      <c r="F27" s="129"/>
      <c r="G27" s="129"/>
      <c r="H27" s="129"/>
      <c r="I27" s="131"/>
      <c r="J27" s="129"/>
      <c r="K27" s="129"/>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30"/>
      <c r="AI27" s="130"/>
      <c r="AJ27" s="130"/>
      <c r="AK27" s="130"/>
      <c r="AL27" s="130"/>
      <c r="AM27" s="129"/>
      <c r="AN27" s="129"/>
      <c r="AO27" s="129"/>
    </row>
    <row r="28" spans="1:41" ht="25.5" customHeight="1" thickBot="1">
      <c r="A28" s="129"/>
      <c r="B28" s="130"/>
      <c r="C28" s="130"/>
      <c r="D28" s="468" t="s">
        <v>125</v>
      </c>
      <c r="E28" s="469"/>
      <c r="F28" s="469"/>
      <c r="G28" s="469"/>
      <c r="H28" s="469"/>
      <c r="I28" s="469"/>
      <c r="J28" s="470"/>
      <c r="K28" s="470"/>
      <c r="L28" s="470"/>
      <c r="M28" s="470"/>
      <c r="N28" s="470"/>
      <c r="O28" s="470"/>
      <c r="P28" s="470"/>
      <c r="Q28" s="470"/>
      <c r="R28" s="470"/>
      <c r="S28" s="470"/>
      <c r="T28" s="470"/>
      <c r="U28" s="470"/>
      <c r="V28" s="470"/>
      <c r="W28" s="470"/>
      <c r="X28" s="470"/>
      <c r="Y28" s="470"/>
      <c r="Z28" s="470"/>
      <c r="AA28" s="470"/>
      <c r="AB28" s="470"/>
      <c r="AC28" s="470"/>
      <c r="AD28" s="470"/>
      <c r="AE28" s="470"/>
      <c r="AF28" s="471"/>
      <c r="AG28" s="471"/>
      <c r="AH28" s="472"/>
      <c r="AI28" s="472"/>
      <c r="AJ28" s="472"/>
      <c r="AK28" s="472"/>
      <c r="AL28" s="472"/>
      <c r="AM28" s="473"/>
      <c r="AN28" s="129"/>
      <c r="AO28" s="129"/>
    </row>
    <row r="29" spans="1:41" ht="17.45" customHeight="1">
      <c r="A29" s="129"/>
      <c r="B29" s="130"/>
      <c r="C29" s="130"/>
      <c r="D29" s="458" t="s">
        <v>131</v>
      </c>
      <c r="E29" s="459"/>
      <c r="F29" s="459"/>
      <c r="G29" s="459"/>
      <c r="H29" s="459"/>
      <c r="I29" s="460"/>
      <c r="J29" s="457" t="s">
        <v>7</v>
      </c>
      <c r="K29" s="433"/>
      <c r="L29" s="433" t="s">
        <v>8</v>
      </c>
      <c r="M29" s="433"/>
      <c r="N29" s="433" t="s">
        <v>9</v>
      </c>
      <c r="O29" s="434"/>
      <c r="P29" s="457" t="s">
        <v>10</v>
      </c>
      <c r="Q29" s="433"/>
      <c r="R29" s="433" t="s">
        <v>11</v>
      </c>
      <c r="S29" s="433"/>
      <c r="T29" s="433" t="s">
        <v>12</v>
      </c>
      <c r="U29" s="434"/>
      <c r="V29" s="457" t="s">
        <v>13</v>
      </c>
      <c r="W29" s="433"/>
      <c r="X29" s="433" t="s">
        <v>239</v>
      </c>
      <c r="Y29" s="433"/>
      <c r="Z29" s="433" t="s">
        <v>14</v>
      </c>
      <c r="AA29" s="434"/>
      <c r="AB29" s="457" t="s">
        <v>15</v>
      </c>
      <c r="AC29" s="433"/>
      <c r="AD29" s="433" t="s">
        <v>16</v>
      </c>
      <c r="AE29" s="433"/>
      <c r="AF29" s="433" t="s">
        <v>240</v>
      </c>
      <c r="AG29" s="434"/>
      <c r="AH29" s="462"/>
      <c r="AI29" s="462"/>
      <c r="AJ29" s="462"/>
      <c r="AK29" s="462"/>
      <c r="AL29" s="462"/>
      <c r="AM29" s="463"/>
      <c r="AN29" s="129"/>
      <c r="AO29" s="129"/>
    </row>
    <row r="30" spans="1:41" ht="17.45" customHeight="1">
      <c r="A30" s="129"/>
      <c r="B30" s="130"/>
      <c r="C30" s="130"/>
      <c r="D30" s="449" t="s">
        <v>126</v>
      </c>
      <c r="E30" s="429"/>
      <c r="F30" s="429"/>
      <c r="G30" s="429"/>
      <c r="H30" s="429"/>
      <c r="I30" s="441"/>
      <c r="J30" s="449">
        <f>SUMIF(J10:J25,"&gt;0")</f>
        <v>64</v>
      </c>
      <c r="K30" s="429"/>
      <c r="L30" s="429">
        <f>SUMIF(L10:L25,"&gt;0")</f>
        <v>116</v>
      </c>
      <c r="M30" s="429"/>
      <c r="N30" s="429">
        <f>SUMIF(N10:N25,"&gt;0")</f>
        <v>66</v>
      </c>
      <c r="O30" s="430"/>
      <c r="P30" s="449">
        <f>SUMIF(P10:P25,"&gt;0")</f>
        <v>45</v>
      </c>
      <c r="Q30" s="429"/>
      <c r="R30" s="429">
        <f>SUMIF(R10:R25,"&gt;0")</f>
        <v>18</v>
      </c>
      <c r="S30" s="429"/>
      <c r="T30" s="429">
        <f>SUMIF(T10:T25,"&gt;0")</f>
        <v>34</v>
      </c>
      <c r="U30" s="430"/>
      <c r="V30" s="449">
        <f>SUMIF(V10:V25,"&gt;0")</f>
        <v>12</v>
      </c>
      <c r="W30" s="429"/>
      <c r="X30" s="429">
        <f>SUMIF(X10:X25,"&gt;0")</f>
        <v>0</v>
      </c>
      <c r="Y30" s="429"/>
      <c r="Z30" s="429">
        <f>SUMIF(Z10:Z25,"&gt;0")</f>
        <v>0</v>
      </c>
      <c r="AA30" s="430"/>
      <c r="AB30" s="449">
        <f>SUMIF(AB10:AB25,"&gt;0")</f>
        <v>0</v>
      </c>
      <c r="AC30" s="429"/>
      <c r="AD30" s="429">
        <f>SUMIF(AD10:AD25,"&gt;0")</f>
        <v>0</v>
      </c>
      <c r="AE30" s="429"/>
      <c r="AF30" s="429">
        <f>SUMIF(AF10:AF25,"&gt;0")</f>
        <v>0</v>
      </c>
      <c r="AG30" s="430"/>
      <c r="AH30" s="443">
        <f>IFERROR(AVERAGE(J33:AG33),"Sin Actividad Programada")</f>
        <v>0.69444444444444453</v>
      </c>
      <c r="AI30" s="443"/>
      <c r="AJ30" s="443"/>
      <c r="AK30" s="443"/>
      <c r="AL30" s="443"/>
      <c r="AM30" s="444"/>
      <c r="AN30" s="129"/>
      <c r="AO30" s="129"/>
    </row>
    <row r="31" spans="1:41" ht="17.45" customHeight="1">
      <c r="A31" s="129"/>
      <c r="B31" s="130"/>
      <c r="C31" s="130"/>
      <c r="D31" s="449" t="s">
        <v>127</v>
      </c>
      <c r="E31" s="429"/>
      <c r="F31" s="429"/>
      <c r="G31" s="429"/>
      <c r="H31" s="429"/>
      <c r="I31" s="441"/>
      <c r="J31" s="449">
        <f>SUMIF(K10:K25,"&gt;0")</f>
        <v>64</v>
      </c>
      <c r="K31" s="429"/>
      <c r="L31" s="429">
        <f>SUMIF(M10:M25,"&gt;0")</f>
        <v>116</v>
      </c>
      <c r="M31" s="429"/>
      <c r="N31" s="429">
        <f>SUMIF(O10:O25,"&gt;0")</f>
        <v>66</v>
      </c>
      <c r="O31" s="430"/>
      <c r="P31" s="449">
        <f>SUMIF(Q10:Q25,"&gt;0")</f>
        <v>45</v>
      </c>
      <c r="Q31" s="429"/>
      <c r="R31" s="429">
        <f>SUMIF(S10:S25,"&gt;0")</f>
        <v>18</v>
      </c>
      <c r="S31" s="429"/>
      <c r="T31" s="429">
        <f>SUMIF(U10:U25,"&gt;0")</f>
        <v>34</v>
      </c>
      <c r="U31" s="430"/>
      <c r="V31" s="449">
        <f>SUMIF(W10:W25,"&gt;0")</f>
        <v>1</v>
      </c>
      <c r="W31" s="429"/>
      <c r="X31" s="429">
        <f>SUMIF(Y10:Y25,"&gt;0")</f>
        <v>0</v>
      </c>
      <c r="Y31" s="429"/>
      <c r="Z31" s="429">
        <f>SUMIF(AA10:AA25,"&gt;0")</f>
        <v>0</v>
      </c>
      <c r="AA31" s="430"/>
      <c r="AB31" s="449">
        <f>SUMIF(AC10:AC25,"&gt;0")</f>
        <v>0</v>
      </c>
      <c r="AC31" s="429"/>
      <c r="AD31" s="429">
        <f>SUMIF(AE10:AE25,"&gt;0")</f>
        <v>0</v>
      </c>
      <c r="AE31" s="429"/>
      <c r="AF31" s="429">
        <f>SUMIF(AG10:AG25,"&gt;0")</f>
        <v>0</v>
      </c>
      <c r="AG31" s="430"/>
      <c r="AH31" s="445"/>
      <c r="AI31" s="445"/>
      <c r="AJ31" s="445"/>
      <c r="AK31" s="445"/>
      <c r="AL31" s="445"/>
      <c r="AM31" s="446"/>
      <c r="AN31" s="129"/>
      <c r="AO31" s="129"/>
    </row>
    <row r="32" spans="1:41" ht="17.45" customHeight="1" thickBot="1">
      <c r="A32" s="129"/>
      <c r="B32" s="130"/>
      <c r="C32" s="130"/>
      <c r="D32" s="449" t="s">
        <v>128</v>
      </c>
      <c r="E32" s="429"/>
      <c r="F32" s="429"/>
      <c r="G32" s="429"/>
      <c r="H32" s="429"/>
      <c r="I32" s="441"/>
      <c r="J32" s="438">
        <f>IF(J30&gt;0,J31/J30,IF(J30=0,"N,A"))</f>
        <v>1</v>
      </c>
      <c r="K32" s="431"/>
      <c r="L32" s="431">
        <f>IF(L30&gt;0,L31/L30,IF(L30=0,"N,A"))</f>
        <v>1</v>
      </c>
      <c r="M32" s="431"/>
      <c r="N32" s="431">
        <f>IF(N30&gt;0,N31/N30,IF(N30=0,"N,A"))</f>
        <v>1</v>
      </c>
      <c r="O32" s="432"/>
      <c r="P32" s="438">
        <f>IF(P30&gt;0,P31/P30,IF(P30=0,"N,A"))</f>
        <v>1</v>
      </c>
      <c r="Q32" s="431"/>
      <c r="R32" s="431">
        <f>IF(R30&gt;0,R31/R30,IF(R30=0,"N,A"))</f>
        <v>1</v>
      </c>
      <c r="S32" s="431"/>
      <c r="T32" s="431">
        <f>IF(T30&gt;0,T31/T30,IF(T30=0,"N,A"))</f>
        <v>1</v>
      </c>
      <c r="U32" s="432"/>
      <c r="V32" s="438">
        <f>IF(V30&gt;0,V31/V30,IF(V30=0,"N,A"))</f>
        <v>8.3333333333333329E-2</v>
      </c>
      <c r="W32" s="431"/>
      <c r="X32" s="431" t="str">
        <f>IF(X30&gt;0,X31/X30,IF(X30=0,"N,A"))</f>
        <v>N,A</v>
      </c>
      <c r="Y32" s="431"/>
      <c r="Z32" s="431" t="str">
        <f>IF(Z30&gt;0,Z31/Z30,IF(Z30=0,"N,A"))</f>
        <v>N,A</v>
      </c>
      <c r="AA32" s="432"/>
      <c r="AB32" s="438" t="str">
        <f>IF(AB30&gt;0,AB31/AB30,IF(AB30=0,"N,A"))</f>
        <v>N,A</v>
      </c>
      <c r="AC32" s="431"/>
      <c r="AD32" s="431" t="str">
        <f>IF(AD30&gt;0,AD31/AD30,IF(AD30=0,"N,A"))</f>
        <v>N,A</v>
      </c>
      <c r="AE32" s="431"/>
      <c r="AF32" s="431" t="str">
        <f>IF(AF30&gt;0,AF31/AF30,IF(AF30=0,"N,A"))</f>
        <v>N,A</v>
      </c>
      <c r="AG32" s="432"/>
      <c r="AH32" s="445"/>
      <c r="AI32" s="445"/>
      <c r="AJ32" s="445"/>
      <c r="AK32" s="445"/>
      <c r="AL32" s="445"/>
      <c r="AM32" s="446"/>
      <c r="AN32" s="129"/>
      <c r="AO32" s="129"/>
    </row>
    <row r="33" spans="1:41" ht="17.45" customHeight="1" thickBot="1">
      <c r="A33" s="129"/>
      <c r="B33" s="130"/>
      <c r="C33" s="130"/>
      <c r="D33" s="449" t="s">
        <v>129</v>
      </c>
      <c r="E33" s="429"/>
      <c r="F33" s="429"/>
      <c r="G33" s="429"/>
      <c r="H33" s="429"/>
      <c r="I33" s="441"/>
      <c r="J33" s="453">
        <f>IFERROR(IF(SUM(J32:O32)&gt;=0,AVERAGE(J32:O32),"N.A."),"N,A")</f>
        <v>1</v>
      </c>
      <c r="K33" s="454"/>
      <c r="L33" s="454"/>
      <c r="M33" s="454"/>
      <c r="N33" s="454"/>
      <c r="O33" s="455"/>
      <c r="P33" s="453">
        <f>IFERROR(IF(SUM(P32:U32)&gt;=0,AVERAGE(P32:U32),"N.A."),"N,A")</f>
        <v>1</v>
      </c>
      <c r="Q33" s="454"/>
      <c r="R33" s="454"/>
      <c r="S33" s="454"/>
      <c r="T33" s="454"/>
      <c r="U33" s="455"/>
      <c r="V33" s="467">
        <f>IFERROR(IF(SUM(V32:AA32)&gt;=0,AVERAGE(V32:AA32),"N.A."),"N,A")</f>
        <v>8.3333333333333329E-2</v>
      </c>
      <c r="W33" s="467"/>
      <c r="X33" s="467"/>
      <c r="Y33" s="467"/>
      <c r="Z33" s="467"/>
      <c r="AA33" s="467"/>
      <c r="AB33" s="453" t="str">
        <f>IFERROR(IF(SUM(AB32:AG32)&gt;=0,AVERAGE(AB32:AG32),"N.A."),"N,A")</f>
        <v>N,A</v>
      </c>
      <c r="AC33" s="454"/>
      <c r="AD33" s="454"/>
      <c r="AE33" s="454"/>
      <c r="AF33" s="454"/>
      <c r="AG33" s="455"/>
      <c r="AH33" s="447"/>
      <c r="AI33" s="447"/>
      <c r="AJ33" s="447"/>
      <c r="AK33" s="447"/>
      <c r="AL33" s="447"/>
      <c r="AM33" s="448"/>
      <c r="AN33" s="129"/>
      <c r="AO33" s="129"/>
    </row>
    <row r="34" spans="1:41" ht="17.45" customHeight="1">
      <c r="A34" s="129"/>
      <c r="B34" s="130"/>
      <c r="C34" s="130"/>
      <c r="D34" s="458" t="s">
        <v>132</v>
      </c>
      <c r="E34" s="459"/>
      <c r="F34" s="459"/>
      <c r="G34" s="459"/>
      <c r="H34" s="459"/>
      <c r="I34" s="460"/>
      <c r="J34" s="457" t="s">
        <v>7</v>
      </c>
      <c r="K34" s="433"/>
      <c r="L34" s="433" t="s">
        <v>8</v>
      </c>
      <c r="M34" s="433"/>
      <c r="N34" s="433" t="s">
        <v>9</v>
      </c>
      <c r="O34" s="434"/>
      <c r="P34" s="457" t="s">
        <v>10</v>
      </c>
      <c r="Q34" s="433"/>
      <c r="R34" s="433" t="s">
        <v>11</v>
      </c>
      <c r="S34" s="433"/>
      <c r="T34" s="433" t="s">
        <v>12</v>
      </c>
      <c r="U34" s="434"/>
      <c r="V34" s="457" t="s">
        <v>13</v>
      </c>
      <c r="W34" s="433"/>
      <c r="X34" s="433" t="s">
        <v>239</v>
      </c>
      <c r="Y34" s="433"/>
      <c r="Z34" s="433" t="s">
        <v>14</v>
      </c>
      <c r="AA34" s="434"/>
      <c r="AB34" s="457" t="s">
        <v>15</v>
      </c>
      <c r="AC34" s="433"/>
      <c r="AD34" s="433" t="s">
        <v>16</v>
      </c>
      <c r="AE34" s="433"/>
      <c r="AF34" s="433" t="s">
        <v>240</v>
      </c>
      <c r="AG34" s="434"/>
      <c r="AH34" s="462"/>
      <c r="AI34" s="462"/>
      <c r="AJ34" s="462"/>
      <c r="AK34" s="462"/>
      <c r="AL34" s="462"/>
      <c r="AM34" s="463"/>
      <c r="AN34" s="129"/>
      <c r="AO34" s="129"/>
    </row>
    <row r="35" spans="1:41" ht="17.45" customHeight="1">
      <c r="A35" s="129"/>
      <c r="B35" s="130"/>
      <c r="C35" s="130"/>
      <c r="D35" s="449" t="s">
        <v>126</v>
      </c>
      <c r="E35" s="429"/>
      <c r="F35" s="429"/>
      <c r="G35" s="429"/>
      <c r="H35" s="429"/>
      <c r="I35" s="441"/>
      <c r="J35" s="442">
        <f>SUMIF(J10,"&gt;0")+SUMIF(J12,"&gt;0")</f>
        <v>24</v>
      </c>
      <c r="K35" s="429"/>
      <c r="L35" s="437">
        <f t="shared" ref="L35" si="6">SUMIF(L10,"&gt;0")+SUMIF(L12,"&gt;0")</f>
        <v>34</v>
      </c>
      <c r="M35" s="429"/>
      <c r="N35" s="437">
        <f t="shared" ref="N35" si="7">SUMIF(N10,"&gt;0")+SUMIF(N12,"&gt;0")</f>
        <v>10</v>
      </c>
      <c r="O35" s="430"/>
      <c r="P35" s="442">
        <f t="shared" ref="P35" si="8">SUMIF(P10,"&gt;0")+SUMIF(P12,"&gt;0")</f>
        <v>12</v>
      </c>
      <c r="Q35" s="429"/>
      <c r="R35" s="437">
        <f t="shared" ref="R35" si="9">SUMIF(R10,"&gt;0")+SUMIF(R12,"&gt;0")</f>
        <v>6</v>
      </c>
      <c r="S35" s="429"/>
      <c r="T35" s="437">
        <f t="shared" ref="T35" si="10">SUMIF(T10,"&gt;0")+SUMIF(T12,"&gt;0")</f>
        <v>8</v>
      </c>
      <c r="U35" s="430"/>
      <c r="V35" s="442">
        <f t="shared" ref="V35" si="11">SUMIF(V10,"&gt;0")+SUMIF(V12,"&gt;0")</f>
        <v>0</v>
      </c>
      <c r="W35" s="429"/>
      <c r="X35" s="437">
        <f t="shared" ref="X35" si="12">SUMIF(X10,"&gt;0")+SUMIF(X12,"&gt;0")</f>
        <v>0</v>
      </c>
      <c r="Y35" s="429"/>
      <c r="Z35" s="437">
        <f t="shared" ref="Z35" si="13">SUMIF(Z10,"&gt;0")+SUMIF(Z12,"&gt;0")</f>
        <v>0</v>
      </c>
      <c r="AA35" s="430"/>
      <c r="AB35" s="442">
        <f t="shared" ref="AB35" si="14">SUMIF(AB10,"&gt;0")+SUMIF(AB12,"&gt;0")</f>
        <v>0</v>
      </c>
      <c r="AC35" s="429"/>
      <c r="AD35" s="437">
        <f t="shared" ref="AD35" si="15">SUMIF(AD10,"&gt;0")+SUMIF(AD12,"&gt;0")</f>
        <v>0</v>
      </c>
      <c r="AE35" s="429"/>
      <c r="AF35" s="437">
        <f t="shared" ref="AF35" si="16">SUMIF(AF10,"&gt;0")+SUMIF(AF12,"&gt;0")</f>
        <v>0</v>
      </c>
      <c r="AG35" s="430"/>
      <c r="AH35" s="443">
        <f>IFERROR(AVERAGE(J38:AG38),"Sin Actividad Programada")</f>
        <v>1</v>
      </c>
      <c r="AI35" s="443"/>
      <c r="AJ35" s="443"/>
      <c r="AK35" s="443"/>
      <c r="AL35" s="443"/>
      <c r="AM35" s="444"/>
      <c r="AN35" s="129"/>
      <c r="AO35" s="129"/>
    </row>
    <row r="36" spans="1:41" ht="17.45" customHeight="1">
      <c r="A36" s="129"/>
      <c r="B36" s="130"/>
      <c r="C36" s="130"/>
      <c r="D36" s="449" t="s">
        <v>127</v>
      </c>
      <c r="E36" s="429"/>
      <c r="F36" s="429"/>
      <c r="G36" s="429"/>
      <c r="H36" s="429"/>
      <c r="I36" s="441"/>
      <c r="J36" s="442">
        <f>SUMIF(K10,"&gt;0")+SUMIF(K12,"&gt;0")</f>
        <v>24</v>
      </c>
      <c r="K36" s="429"/>
      <c r="L36" s="437">
        <f t="shared" ref="L36" si="17">SUMIF(M10,"&gt;0")+SUMIF(M12,"&gt;0")</f>
        <v>34</v>
      </c>
      <c r="M36" s="429"/>
      <c r="N36" s="437">
        <f t="shared" ref="N36" si="18">SUMIF(O10,"&gt;0")+SUMIF(O12,"&gt;0")</f>
        <v>10</v>
      </c>
      <c r="O36" s="430"/>
      <c r="P36" s="442">
        <f t="shared" ref="P36" si="19">SUMIF(Q10,"&gt;0")+SUMIF(Q12,"&gt;0")</f>
        <v>12</v>
      </c>
      <c r="Q36" s="429"/>
      <c r="R36" s="437">
        <f t="shared" ref="R36" si="20">SUMIF(S10,"&gt;0")+SUMIF(S12,"&gt;0")</f>
        <v>6</v>
      </c>
      <c r="S36" s="429"/>
      <c r="T36" s="437">
        <f t="shared" ref="T36" si="21">SUMIF(U10,"&gt;0")+SUMIF(U12,"&gt;0")</f>
        <v>8</v>
      </c>
      <c r="U36" s="430"/>
      <c r="V36" s="442">
        <f t="shared" ref="V36" si="22">SUMIF(W10,"&gt;0")+SUMIF(W12,"&gt;0")</f>
        <v>0</v>
      </c>
      <c r="W36" s="429"/>
      <c r="X36" s="437">
        <f t="shared" ref="X36" si="23">SUMIF(Y10,"&gt;0")+SUMIF(Y12,"&gt;0")</f>
        <v>0</v>
      </c>
      <c r="Y36" s="429"/>
      <c r="Z36" s="437">
        <f t="shared" ref="Z36" si="24">SUMIF(AA10,"&gt;0")+SUMIF(AA12,"&gt;0")</f>
        <v>0</v>
      </c>
      <c r="AA36" s="430"/>
      <c r="AB36" s="442">
        <f t="shared" ref="AB36" si="25">SUMIF(AC10,"&gt;0")+SUMIF(AC12,"&gt;0")</f>
        <v>0</v>
      </c>
      <c r="AC36" s="429"/>
      <c r="AD36" s="437">
        <f t="shared" ref="AD36" si="26">SUMIF(AE10,"&gt;0")+SUMIF(AE12,"&gt;0")</f>
        <v>0</v>
      </c>
      <c r="AE36" s="429"/>
      <c r="AF36" s="437">
        <f t="shared" ref="AF36" si="27">SUMIF(AG10,"&gt;0")+SUMIF(AG12,"&gt;0")</f>
        <v>0</v>
      </c>
      <c r="AG36" s="430"/>
      <c r="AH36" s="445"/>
      <c r="AI36" s="445"/>
      <c r="AJ36" s="445"/>
      <c r="AK36" s="445"/>
      <c r="AL36" s="445"/>
      <c r="AM36" s="446"/>
      <c r="AN36" s="129"/>
      <c r="AO36" s="129"/>
    </row>
    <row r="37" spans="1:41" ht="17.45" customHeight="1" thickBot="1">
      <c r="A37" s="129"/>
      <c r="B37" s="130"/>
      <c r="C37" s="130"/>
      <c r="D37" s="449" t="s">
        <v>128</v>
      </c>
      <c r="E37" s="429"/>
      <c r="F37" s="429"/>
      <c r="G37" s="429"/>
      <c r="H37" s="429"/>
      <c r="I37" s="441"/>
      <c r="J37" s="452">
        <f>IF(J35&gt;0,J36/J35,IF(J35=0,"N,A"))</f>
        <v>1</v>
      </c>
      <c r="K37" s="439"/>
      <c r="L37" s="439">
        <f>IF(L35&gt;0,L36/L35,IF(L35=0,"N,A"))</f>
        <v>1</v>
      </c>
      <c r="M37" s="439"/>
      <c r="N37" s="439">
        <f>IF(N35&gt;0,N36/N35,IF(N35=0,"N,A"))</f>
        <v>1</v>
      </c>
      <c r="O37" s="456"/>
      <c r="P37" s="438">
        <f>IF(P35&gt;0,P36/P35,IF(P35=0,"N,A"))</f>
        <v>1</v>
      </c>
      <c r="Q37" s="431"/>
      <c r="R37" s="431">
        <f>IF(R35&gt;0,R36/R35,IF(R35=0,"N,A"))</f>
        <v>1</v>
      </c>
      <c r="S37" s="431"/>
      <c r="T37" s="431">
        <f>IF(T35&gt;0,T36/T35,IF(T35=0,"N,A"))</f>
        <v>1</v>
      </c>
      <c r="U37" s="432"/>
      <c r="V37" s="452" t="str">
        <f>IF(V35&gt;0,V36/V35,IF(V35=0,"N,A"))</f>
        <v>N,A</v>
      </c>
      <c r="W37" s="439"/>
      <c r="X37" s="439" t="str">
        <f>IF(X35&gt;0,X36/X35,IF(X35=0,"N,A"))</f>
        <v>N,A</v>
      </c>
      <c r="Y37" s="439"/>
      <c r="Z37" s="439" t="str">
        <f>IF(Z35&gt;0,Z36/Z35,IF(Z35=0,"N,A"))</f>
        <v>N,A</v>
      </c>
      <c r="AA37" s="456"/>
      <c r="AB37" s="438" t="str">
        <f>IF(AB35&gt;0,AB36/AB35,IF(AB35=0,"N,A"))</f>
        <v>N,A</v>
      </c>
      <c r="AC37" s="431"/>
      <c r="AD37" s="431" t="str">
        <f>IF(AD35&gt;0,AD36/AD35,IF(AD35=0,"N,A"))</f>
        <v>N,A</v>
      </c>
      <c r="AE37" s="431"/>
      <c r="AF37" s="431" t="str">
        <f>IF(AF35&gt;0,AF36/AF35,IF(AF35=0,"N,A"))</f>
        <v>N,A</v>
      </c>
      <c r="AG37" s="432"/>
      <c r="AH37" s="445"/>
      <c r="AI37" s="445"/>
      <c r="AJ37" s="445"/>
      <c r="AK37" s="445"/>
      <c r="AL37" s="445"/>
      <c r="AM37" s="446"/>
      <c r="AN37" s="129"/>
      <c r="AO37" s="129"/>
    </row>
    <row r="38" spans="1:41" ht="17.45" customHeight="1" thickBot="1">
      <c r="A38" s="129"/>
      <c r="B38" s="130"/>
      <c r="C38" s="130"/>
      <c r="D38" s="449" t="s">
        <v>129</v>
      </c>
      <c r="E38" s="429"/>
      <c r="F38" s="429"/>
      <c r="G38" s="429"/>
      <c r="H38" s="429"/>
      <c r="I38" s="441"/>
      <c r="J38" s="453">
        <f>IFERROR(IF(SUM(J37:O37)&gt;=0,AVERAGE(J37:O37),"N.A."),"N,A")</f>
        <v>1</v>
      </c>
      <c r="K38" s="454"/>
      <c r="L38" s="454"/>
      <c r="M38" s="454"/>
      <c r="N38" s="454"/>
      <c r="O38" s="455"/>
      <c r="P38" s="453">
        <f>IFERROR(IF(SUM(P37:U37)&gt;=0,AVERAGE(P37:U37),"N.A."),"N,A")</f>
        <v>1</v>
      </c>
      <c r="Q38" s="454"/>
      <c r="R38" s="454"/>
      <c r="S38" s="454"/>
      <c r="T38" s="454"/>
      <c r="U38" s="454"/>
      <c r="V38" s="453" t="str">
        <f>IFERROR(IF(SUM(V37:AA37)&gt;=0,AVERAGE(V37:AA37),"N.A."),"N,A")</f>
        <v>N,A</v>
      </c>
      <c r="W38" s="454"/>
      <c r="X38" s="454"/>
      <c r="Y38" s="454"/>
      <c r="Z38" s="454"/>
      <c r="AA38" s="455"/>
      <c r="AB38" s="453" t="str">
        <f>IFERROR(IF(SUM(AB37:AG37)&gt;=0,AVERAGE(AB37:AG37),"N.A."),"N,A")</f>
        <v>N,A</v>
      </c>
      <c r="AC38" s="454"/>
      <c r="AD38" s="454"/>
      <c r="AE38" s="454"/>
      <c r="AF38" s="454"/>
      <c r="AG38" s="455"/>
      <c r="AH38" s="447"/>
      <c r="AI38" s="447"/>
      <c r="AJ38" s="447"/>
      <c r="AK38" s="447"/>
      <c r="AL38" s="447"/>
      <c r="AM38" s="448"/>
      <c r="AN38" s="129"/>
      <c r="AO38" s="129"/>
    </row>
    <row r="39" spans="1:41" ht="17.45" customHeight="1">
      <c r="A39" s="129"/>
      <c r="B39" s="130"/>
      <c r="C39" s="130"/>
      <c r="D39" s="458" t="s">
        <v>150</v>
      </c>
      <c r="E39" s="459"/>
      <c r="F39" s="459"/>
      <c r="G39" s="459"/>
      <c r="H39" s="459"/>
      <c r="I39" s="460"/>
      <c r="J39" s="457" t="s">
        <v>7</v>
      </c>
      <c r="K39" s="433"/>
      <c r="L39" s="433" t="s">
        <v>8</v>
      </c>
      <c r="M39" s="433"/>
      <c r="N39" s="433" t="s">
        <v>9</v>
      </c>
      <c r="O39" s="434"/>
      <c r="P39" s="457" t="s">
        <v>10</v>
      </c>
      <c r="Q39" s="433"/>
      <c r="R39" s="433" t="s">
        <v>11</v>
      </c>
      <c r="S39" s="433"/>
      <c r="T39" s="433" t="s">
        <v>12</v>
      </c>
      <c r="U39" s="434"/>
      <c r="V39" s="464" t="s">
        <v>13</v>
      </c>
      <c r="W39" s="465"/>
      <c r="X39" s="465" t="s">
        <v>239</v>
      </c>
      <c r="Y39" s="465"/>
      <c r="Z39" s="465" t="s">
        <v>14</v>
      </c>
      <c r="AA39" s="466"/>
      <c r="AB39" s="461" t="s">
        <v>15</v>
      </c>
      <c r="AC39" s="435"/>
      <c r="AD39" s="435" t="s">
        <v>16</v>
      </c>
      <c r="AE39" s="435"/>
      <c r="AF39" s="435" t="s">
        <v>240</v>
      </c>
      <c r="AG39" s="436"/>
      <c r="AH39" s="462"/>
      <c r="AI39" s="462"/>
      <c r="AJ39" s="462"/>
      <c r="AK39" s="462"/>
      <c r="AL39" s="462"/>
      <c r="AM39" s="463"/>
      <c r="AN39" s="129"/>
      <c r="AO39" s="129"/>
    </row>
    <row r="40" spans="1:41" ht="17.45" customHeight="1">
      <c r="A40" s="129"/>
      <c r="B40" s="130"/>
      <c r="C40" s="130"/>
      <c r="D40" s="449" t="s">
        <v>126</v>
      </c>
      <c r="E40" s="429"/>
      <c r="F40" s="429"/>
      <c r="G40" s="429"/>
      <c r="H40" s="429"/>
      <c r="I40" s="441"/>
      <c r="J40" s="442">
        <f>SUMIF(J20:J25,"&gt;0")+SUMIF(J15,"&gt;0")</f>
        <v>33</v>
      </c>
      <c r="K40" s="429"/>
      <c r="L40" s="437">
        <f>SUMIF(L20:L25,"&gt;0")+SUMIF(L15,"&gt;0")</f>
        <v>41</v>
      </c>
      <c r="M40" s="429"/>
      <c r="N40" s="437">
        <f>SUMIF(N20:N25,"&gt;0")+SUMIF(N15,"&gt;0")</f>
        <v>50</v>
      </c>
      <c r="O40" s="430"/>
      <c r="P40" s="442">
        <f>SUMIF(P20:P25,"&gt;0")+SUMIF(P15,"&gt;0")</f>
        <v>16</v>
      </c>
      <c r="Q40" s="429"/>
      <c r="R40" s="437">
        <f>SUMIF(R20:R25,"&gt;0")+SUMIF(R15,"&gt;0")</f>
        <v>10</v>
      </c>
      <c r="S40" s="429"/>
      <c r="T40" s="437">
        <f>SUMIF(T20:T25,"&gt;0")+SUMIF(T15,"&gt;0")</f>
        <v>5</v>
      </c>
      <c r="U40" s="430"/>
      <c r="V40" s="440">
        <f>SUMIF(V20:V25,"&gt;0")+SUMIF(V15,"&gt;0")</f>
        <v>1</v>
      </c>
      <c r="W40" s="429"/>
      <c r="X40" s="437">
        <f>SUMIF(X20:X25,"&gt;0")+SUMIF(X15,"&gt;0")</f>
        <v>0</v>
      </c>
      <c r="Y40" s="429"/>
      <c r="Z40" s="437">
        <f>SUMIF(Z20:Z25,"&gt;0")+SUMIF(Z15,"&gt;0")</f>
        <v>0</v>
      </c>
      <c r="AA40" s="441"/>
      <c r="AB40" s="442">
        <f>SUMIF(AB20:AB25,"&gt;0")+SUMIF(AB15,"&gt;0")</f>
        <v>0</v>
      </c>
      <c r="AC40" s="429"/>
      <c r="AD40" s="437">
        <f>SUMIF(AD20:AD25,"&gt;0")+SUMIF(AD15,"&gt;0")</f>
        <v>0</v>
      </c>
      <c r="AE40" s="429"/>
      <c r="AF40" s="437">
        <f>SUMIF(AF20:AF25,"&gt;0")+SUMIF(AF15,"&gt;0")</f>
        <v>0</v>
      </c>
      <c r="AG40" s="430"/>
      <c r="AH40" s="443">
        <f>IFERROR(AVERAGE(J43:AG43),"Sin Actividad Programada")</f>
        <v>1</v>
      </c>
      <c r="AI40" s="443"/>
      <c r="AJ40" s="443"/>
      <c r="AK40" s="443"/>
      <c r="AL40" s="443"/>
      <c r="AM40" s="444"/>
      <c r="AN40" s="129"/>
      <c r="AO40" s="129"/>
    </row>
    <row r="41" spans="1:41" ht="17.45" customHeight="1">
      <c r="A41" s="129"/>
      <c r="B41" s="130"/>
      <c r="C41" s="130"/>
      <c r="D41" s="449" t="s">
        <v>127</v>
      </c>
      <c r="E41" s="429"/>
      <c r="F41" s="429"/>
      <c r="G41" s="429"/>
      <c r="H41" s="429"/>
      <c r="I41" s="441"/>
      <c r="J41" s="442">
        <f>SUMIF(K20:K25,"&gt;0")+SUMIF(K15,"&gt;0")</f>
        <v>33</v>
      </c>
      <c r="K41" s="429"/>
      <c r="L41" s="437">
        <f>SUMIF(M20:M25,"&gt;0")+SUMIF(M15,"&gt;0")</f>
        <v>41</v>
      </c>
      <c r="M41" s="429"/>
      <c r="N41" s="437">
        <f>SUMIF(O20:O25,"&gt;0")+SUMIF(O15,"&gt;0")</f>
        <v>50</v>
      </c>
      <c r="O41" s="430"/>
      <c r="P41" s="442">
        <f>SUMIF(Q20:Q25,"&gt;0")+SUMIF(Q15,"&gt;0")</f>
        <v>16</v>
      </c>
      <c r="Q41" s="429"/>
      <c r="R41" s="437">
        <f>SUMIF(S20:S25,"&gt;0")+SUMIF(S15,"&gt;0")</f>
        <v>10</v>
      </c>
      <c r="S41" s="429"/>
      <c r="T41" s="437">
        <f>SUMIF(U20:U25,"&gt;0")+SUMIF(U15,"&gt;0")</f>
        <v>5</v>
      </c>
      <c r="U41" s="430"/>
      <c r="V41" s="440">
        <f>SUMIF(W20:W25,"&gt;0")+SUMIF(W15,"&gt;0")</f>
        <v>1</v>
      </c>
      <c r="W41" s="429"/>
      <c r="X41" s="437">
        <f>SUMIF(Y20:Y25,"&gt;0")+SUMIF(Y15,"&gt;0")</f>
        <v>0</v>
      </c>
      <c r="Y41" s="429"/>
      <c r="Z41" s="437">
        <f>SUMIF(AA20:AA25,"&gt;0")+SUMIF(AA15,"&gt;0")</f>
        <v>0</v>
      </c>
      <c r="AA41" s="441"/>
      <c r="AB41" s="442">
        <f>SUMIF(AC20:AC25,"&gt;0")+SUMIF(AC15,"&gt;0")</f>
        <v>0</v>
      </c>
      <c r="AC41" s="429"/>
      <c r="AD41" s="437">
        <f>SUMIF(AE20:AE25,"&gt;0")+SUMIF(AE15,"&gt;0")</f>
        <v>0</v>
      </c>
      <c r="AE41" s="429"/>
      <c r="AF41" s="437">
        <f>SUMIF(AG20:AG25,"&gt;0")+SUMIF(AG15,"&gt;0")</f>
        <v>0</v>
      </c>
      <c r="AG41" s="430"/>
      <c r="AH41" s="445"/>
      <c r="AI41" s="445"/>
      <c r="AJ41" s="445"/>
      <c r="AK41" s="445"/>
      <c r="AL41" s="445"/>
      <c r="AM41" s="446"/>
      <c r="AN41" s="129"/>
      <c r="AO41" s="129"/>
    </row>
    <row r="42" spans="1:41" ht="17.45" customHeight="1" thickBot="1">
      <c r="A42" s="129"/>
      <c r="B42" s="130"/>
      <c r="C42" s="130"/>
      <c r="D42" s="449" t="s">
        <v>128</v>
      </c>
      <c r="E42" s="429"/>
      <c r="F42" s="429"/>
      <c r="G42" s="429"/>
      <c r="H42" s="429"/>
      <c r="I42" s="441"/>
      <c r="J42" s="438">
        <f>IF(J40&gt;0,J41/J40,IF(J40=0,"N,A"))</f>
        <v>1</v>
      </c>
      <c r="K42" s="431"/>
      <c r="L42" s="431">
        <f>IF(L40&gt;0,L41/L40,IF(L40=0,"N,A"))</f>
        <v>1</v>
      </c>
      <c r="M42" s="431"/>
      <c r="N42" s="431">
        <f>IF(N40&gt;0,N41/N40,IF(N40=0,"N,A"))</f>
        <v>1</v>
      </c>
      <c r="O42" s="432"/>
      <c r="P42" s="438">
        <f>IF(P40&gt;0,P41/P40,IF(P40=0,"N,A"))</f>
        <v>1</v>
      </c>
      <c r="Q42" s="431"/>
      <c r="R42" s="431">
        <f>IF(R40&gt;0,R41/R40,IF(R40=0,"N,A"))</f>
        <v>1</v>
      </c>
      <c r="S42" s="431"/>
      <c r="T42" s="431">
        <f>IF(T40&gt;0,T41/T40,IF(T40=0,"N,A"))</f>
        <v>1</v>
      </c>
      <c r="U42" s="432"/>
      <c r="V42" s="450">
        <f>IF(V40&gt;0,V41/V40,IF(V40=0,"N,A"))</f>
        <v>1</v>
      </c>
      <c r="W42" s="439"/>
      <c r="X42" s="439" t="str">
        <f>IF(X40&gt;0,X41/X40,IF(X40=0,"N,A"))</f>
        <v>N,A</v>
      </c>
      <c r="Y42" s="439"/>
      <c r="Z42" s="439" t="str">
        <f>IF(Z40&gt;0,Z41/Z40,IF(Z40=0,"N,A"))</f>
        <v>N,A</v>
      </c>
      <c r="AA42" s="451"/>
      <c r="AB42" s="452" t="str">
        <f>IF(AB40&gt;0,AB41/AB40,IF(AB40=0,"N,A"))</f>
        <v>N,A</v>
      </c>
      <c r="AC42" s="439"/>
      <c r="AD42" s="439" t="str">
        <f>IF(AD40&gt;0,AD41/AD40,IF(AD40=0,"N,A"))</f>
        <v>N,A</v>
      </c>
      <c r="AE42" s="439"/>
      <c r="AF42" s="439" t="str">
        <f>IF(AF40&gt;0,AF41/AF40,IF(AF40=0,"N,A"))</f>
        <v>N,A</v>
      </c>
      <c r="AG42" s="456"/>
      <c r="AH42" s="445"/>
      <c r="AI42" s="445"/>
      <c r="AJ42" s="445"/>
      <c r="AK42" s="445"/>
      <c r="AL42" s="445"/>
      <c r="AM42" s="446"/>
      <c r="AN42" s="129"/>
      <c r="AO42" s="129"/>
    </row>
    <row r="43" spans="1:41" ht="17.45" customHeight="1" thickBot="1">
      <c r="A43" s="129"/>
      <c r="B43" s="130"/>
      <c r="C43" s="130"/>
      <c r="D43" s="449" t="s">
        <v>129</v>
      </c>
      <c r="E43" s="429"/>
      <c r="F43" s="429"/>
      <c r="G43" s="429"/>
      <c r="H43" s="429"/>
      <c r="I43" s="441"/>
      <c r="J43" s="453">
        <f>IFERROR(IF(SUM(J42:O42)&gt;=0,AVERAGE(J42:O42),"N.A."),"N,A")</f>
        <v>1</v>
      </c>
      <c r="K43" s="454"/>
      <c r="L43" s="454"/>
      <c r="M43" s="454"/>
      <c r="N43" s="454"/>
      <c r="O43" s="455"/>
      <c r="P43" s="453">
        <f>IFERROR(IF(SUM(P42:U42)&gt;=0,AVERAGE(P42:U42),"N.A."),"N,A")</f>
        <v>1</v>
      </c>
      <c r="Q43" s="454"/>
      <c r="R43" s="454"/>
      <c r="S43" s="454"/>
      <c r="T43" s="454"/>
      <c r="U43" s="455"/>
      <c r="V43" s="454">
        <f>IFERROR(IF(SUM(V42:AA42)&gt;=0,AVERAGE(V42:AA42),"N.A."),"N,A")</f>
        <v>1</v>
      </c>
      <c r="W43" s="454"/>
      <c r="X43" s="454"/>
      <c r="Y43" s="454"/>
      <c r="Z43" s="454"/>
      <c r="AA43" s="454"/>
      <c r="AB43" s="453" t="str">
        <f>IFERROR(IF(SUM(AB42:AG42)&gt;=0,AVERAGE(AB42:AG42),"N.A."),"N,A")</f>
        <v>N,A</v>
      </c>
      <c r="AC43" s="454"/>
      <c r="AD43" s="454"/>
      <c r="AE43" s="454"/>
      <c r="AF43" s="454"/>
      <c r="AG43" s="455"/>
      <c r="AH43" s="447"/>
      <c r="AI43" s="447"/>
      <c r="AJ43" s="447"/>
      <c r="AK43" s="447"/>
      <c r="AL43" s="447"/>
      <c r="AM43" s="448"/>
      <c r="AN43" s="129"/>
      <c r="AO43" s="129"/>
    </row>
  </sheetData>
  <mergeCells count="210">
    <mergeCell ref="A1:D2"/>
    <mergeCell ref="E1:AO1"/>
    <mergeCell ref="E2:AO2"/>
    <mergeCell ref="A3:A5"/>
    <mergeCell ref="B3:D4"/>
    <mergeCell ref="E3:E5"/>
    <mergeCell ref="F3:F5"/>
    <mergeCell ref="G3:G5"/>
    <mergeCell ref="H3:H5"/>
    <mergeCell ref="I3:I5"/>
    <mergeCell ref="AH3:AL4"/>
    <mergeCell ref="AM3:AM5"/>
    <mergeCell ref="AN3:AN5"/>
    <mergeCell ref="AO3:AO5"/>
    <mergeCell ref="F6:F9"/>
    <mergeCell ref="G6:G9"/>
    <mergeCell ref="H6:H9"/>
    <mergeCell ref="I6:I9"/>
    <mergeCell ref="AO6:AO9"/>
    <mergeCell ref="T3:U4"/>
    <mergeCell ref="V3:W4"/>
    <mergeCell ref="X3:Y4"/>
    <mergeCell ref="Z3:AA4"/>
    <mergeCell ref="AB3:AC4"/>
    <mergeCell ref="AD3:AE4"/>
    <mergeCell ref="J3:K4"/>
    <mergeCell ref="L3:M4"/>
    <mergeCell ref="N3:O4"/>
    <mergeCell ref="P3:Q4"/>
    <mergeCell ref="R3:S4"/>
    <mergeCell ref="AF3:AG4"/>
    <mergeCell ref="V29:W29"/>
    <mergeCell ref="X29:Y29"/>
    <mergeCell ref="Z29:AA29"/>
    <mergeCell ref="AB29:AC29"/>
    <mergeCell ref="AD29:AE29"/>
    <mergeCell ref="AH29:AM29"/>
    <mergeCell ref="D28:I28"/>
    <mergeCell ref="J28:AM28"/>
    <mergeCell ref="D29:I29"/>
    <mergeCell ref="J29:K29"/>
    <mergeCell ref="L29:M29"/>
    <mergeCell ref="N29:O29"/>
    <mergeCell ref="P29:Q29"/>
    <mergeCell ref="R29:S29"/>
    <mergeCell ref="T29:U29"/>
    <mergeCell ref="AF29:AG29"/>
    <mergeCell ref="AD30:AE30"/>
    <mergeCell ref="AH30:AM33"/>
    <mergeCell ref="D31:I31"/>
    <mergeCell ref="J31:K31"/>
    <mergeCell ref="L31:M31"/>
    <mergeCell ref="N31:O31"/>
    <mergeCell ref="P31:Q31"/>
    <mergeCell ref="R31:S31"/>
    <mergeCell ref="T31:U31"/>
    <mergeCell ref="R30:S30"/>
    <mergeCell ref="T30:U30"/>
    <mergeCell ref="V30:W30"/>
    <mergeCell ref="X30:Y30"/>
    <mergeCell ref="Z30:AA30"/>
    <mergeCell ref="AB30:AC30"/>
    <mergeCell ref="D30:I30"/>
    <mergeCell ref="J30:K30"/>
    <mergeCell ref="L30:M30"/>
    <mergeCell ref="N30:O30"/>
    <mergeCell ref="P30:Q30"/>
    <mergeCell ref="V31:W31"/>
    <mergeCell ref="X31:Y31"/>
    <mergeCell ref="Z31:AA31"/>
    <mergeCell ref="AB31:AC31"/>
    <mergeCell ref="AD31:AE31"/>
    <mergeCell ref="D32:I32"/>
    <mergeCell ref="J32:K32"/>
    <mergeCell ref="L32:M32"/>
    <mergeCell ref="N32:O32"/>
    <mergeCell ref="AB32:AC32"/>
    <mergeCell ref="AD32:AE32"/>
    <mergeCell ref="D33:I33"/>
    <mergeCell ref="P32:Q32"/>
    <mergeCell ref="R32:S32"/>
    <mergeCell ref="T32:U32"/>
    <mergeCell ref="V32:W32"/>
    <mergeCell ref="X32:Y32"/>
    <mergeCell ref="Z32:AA32"/>
    <mergeCell ref="J33:O33"/>
    <mergeCell ref="P33:U33"/>
    <mergeCell ref="V33:AA33"/>
    <mergeCell ref="AB33:AG33"/>
    <mergeCell ref="D35:I35"/>
    <mergeCell ref="J35:K35"/>
    <mergeCell ref="L35:M35"/>
    <mergeCell ref="N35:O35"/>
    <mergeCell ref="P35:Q35"/>
    <mergeCell ref="R35:S35"/>
    <mergeCell ref="T35:U35"/>
    <mergeCell ref="R34:S34"/>
    <mergeCell ref="T34:U34"/>
    <mergeCell ref="D34:I34"/>
    <mergeCell ref="J34:K34"/>
    <mergeCell ref="L34:M34"/>
    <mergeCell ref="N34:O34"/>
    <mergeCell ref="P34:Q34"/>
    <mergeCell ref="V35:W35"/>
    <mergeCell ref="X35:Y35"/>
    <mergeCell ref="Z35:AA35"/>
    <mergeCell ref="AB35:AC35"/>
    <mergeCell ref="AD35:AE35"/>
    <mergeCell ref="AH35:AM38"/>
    <mergeCell ref="AD36:AE36"/>
    <mergeCell ref="AD37:AE37"/>
    <mergeCell ref="AD34:AE34"/>
    <mergeCell ref="AH34:AM34"/>
    <mergeCell ref="V34:W34"/>
    <mergeCell ref="X34:Y34"/>
    <mergeCell ref="Z34:AA34"/>
    <mergeCell ref="AB34:AC34"/>
    <mergeCell ref="R36:S36"/>
    <mergeCell ref="T36:U36"/>
    <mergeCell ref="V36:W36"/>
    <mergeCell ref="X36:Y36"/>
    <mergeCell ref="Z36:AA36"/>
    <mergeCell ref="AB36:AC36"/>
    <mergeCell ref="D36:I36"/>
    <mergeCell ref="J36:K36"/>
    <mergeCell ref="L36:M36"/>
    <mergeCell ref="N36:O36"/>
    <mergeCell ref="P36:Q36"/>
    <mergeCell ref="D38:I38"/>
    <mergeCell ref="R37:S37"/>
    <mergeCell ref="T37:U37"/>
    <mergeCell ref="V37:W37"/>
    <mergeCell ref="X37:Y37"/>
    <mergeCell ref="Z37:AA37"/>
    <mergeCell ref="AB37:AC37"/>
    <mergeCell ref="D37:I37"/>
    <mergeCell ref="J37:K37"/>
    <mergeCell ref="L37:M37"/>
    <mergeCell ref="N37:O37"/>
    <mergeCell ref="P37:Q37"/>
    <mergeCell ref="AB39:AC39"/>
    <mergeCell ref="AD39:AE39"/>
    <mergeCell ref="J38:O38"/>
    <mergeCell ref="P38:U38"/>
    <mergeCell ref="AH39:AM39"/>
    <mergeCell ref="V39:W39"/>
    <mergeCell ref="X39:Y39"/>
    <mergeCell ref="Z39:AA39"/>
    <mergeCell ref="AB38:AG38"/>
    <mergeCell ref="V38:AA38"/>
    <mergeCell ref="D40:I40"/>
    <mergeCell ref="J40:K40"/>
    <mergeCell ref="L40:M40"/>
    <mergeCell ref="N40:O40"/>
    <mergeCell ref="P40:Q40"/>
    <mergeCell ref="R40:S40"/>
    <mergeCell ref="P39:Q39"/>
    <mergeCell ref="R39:S39"/>
    <mergeCell ref="T39:U39"/>
    <mergeCell ref="D39:I39"/>
    <mergeCell ref="J39:K39"/>
    <mergeCell ref="L39:M39"/>
    <mergeCell ref="N39:O39"/>
    <mergeCell ref="AH40:AM43"/>
    <mergeCell ref="D41:I41"/>
    <mergeCell ref="J41:K41"/>
    <mergeCell ref="L41:M41"/>
    <mergeCell ref="N41:O41"/>
    <mergeCell ref="P41:Q41"/>
    <mergeCell ref="R41:S41"/>
    <mergeCell ref="T41:U41"/>
    <mergeCell ref="V41:W41"/>
    <mergeCell ref="D43:I43"/>
    <mergeCell ref="R42:S42"/>
    <mergeCell ref="T42:U42"/>
    <mergeCell ref="V42:W42"/>
    <mergeCell ref="X42:Y42"/>
    <mergeCell ref="Z42:AA42"/>
    <mergeCell ref="AB42:AC42"/>
    <mergeCell ref="J43:O43"/>
    <mergeCell ref="P43:U43"/>
    <mergeCell ref="V43:AA43"/>
    <mergeCell ref="AB43:AG43"/>
    <mergeCell ref="AF41:AG41"/>
    <mergeCell ref="AF42:AG42"/>
    <mergeCell ref="D42:I42"/>
    <mergeCell ref="J42:K42"/>
    <mergeCell ref="L42:M42"/>
    <mergeCell ref="N42:O42"/>
    <mergeCell ref="P42:Q42"/>
    <mergeCell ref="AD42:AE42"/>
    <mergeCell ref="T40:U40"/>
    <mergeCell ref="V40:W40"/>
    <mergeCell ref="X40:Y40"/>
    <mergeCell ref="Z40:AA40"/>
    <mergeCell ref="AB40:AC40"/>
    <mergeCell ref="AD40:AE40"/>
    <mergeCell ref="X41:Y41"/>
    <mergeCell ref="Z41:AA41"/>
    <mergeCell ref="AB41:AC41"/>
    <mergeCell ref="AD41:AE41"/>
    <mergeCell ref="AF30:AG30"/>
    <mergeCell ref="AF31:AG31"/>
    <mergeCell ref="AF32:AG32"/>
    <mergeCell ref="AF34:AG34"/>
    <mergeCell ref="AF39:AG39"/>
    <mergeCell ref="AF35:AG35"/>
    <mergeCell ref="AF36:AG36"/>
    <mergeCell ref="AF37:AG37"/>
    <mergeCell ref="AF40:AG40"/>
  </mergeCells>
  <conditionalFormatting sqref="J12:J13">
    <cfRule type="cellIs" dxfId="775" priority="16" operator="greaterThan">
      <formula>0</formula>
    </cfRule>
  </conditionalFormatting>
  <conditionalFormatting sqref="J20">
    <cfRule type="cellIs" dxfId="774" priority="12" operator="greaterThan">
      <formula>0</formula>
    </cfRule>
  </conditionalFormatting>
  <conditionalFormatting sqref="J22">
    <cfRule type="cellIs" dxfId="773" priority="13" operator="greaterThan">
      <formula>0</formula>
    </cfRule>
  </conditionalFormatting>
  <conditionalFormatting sqref="J24:J25">
    <cfRule type="cellIs" dxfId="772" priority="11" operator="greaterThan">
      <formula>0</formula>
    </cfRule>
  </conditionalFormatting>
  <conditionalFormatting sqref="J33 P33 V33 AB33 J38 P38 V38 AB38 J43 P43 V43 AB43">
    <cfRule type="cellIs" dxfId="771" priority="37" stopIfTrue="1" operator="greaterThanOrEqual">
      <formula>0.8</formula>
    </cfRule>
    <cfRule type="cellIs" dxfId="770" priority="38" stopIfTrue="1" operator="between">
      <formula>0.5</formula>
      <formula>0.8</formula>
    </cfRule>
    <cfRule type="cellIs" dxfId="769" priority="39" stopIfTrue="1" operator="lessThan">
      <formula>0.5</formula>
    </cfRule>
  </conditionalFormatting>
  <conditionalFormatting sqref="J13:L13">
    <cfRule type="cellIs" dxfId="768" priority="17" operator="greaterThan">
      <formula>0</formula>
    </cfRule>
  </conditionalFormatting>
  <conditionalFormatting sqref="K6:K25 M6:M25 O6:O25 Q6:Q25 S6:S25 U6:U25 W6:W25 Y6:Y25 AA6:AA25 AC6:AC25 AE6:AG25">
    <cfRule type="cellIs" dxfId="767" priority="35" operator="greaterThan">
      <formula>0</formula>
    </cfRule>
  </conditionalFormatting>
  <conditionalFormatting sqref="L6:L9 N6:N9 P6:P9 R6:R9 T6:T9 V6:V9 X6:X9 Z6:Z9 AB6:AB9 AD6:AD9 J6:J10">
    <cfRule type="cellIs" dxfId="766" priority="36" operator="greaterThan">
      <formula>0</formula>
    </cfRule>
  </conditionalFormatting>
  <conditionalFormatting sqref="L10:L14">
    <cfRule type="cellIs" dxfId="765" priority="10" operator="greaterThan">
      <formula>0</formula>
    </cfRule>
  </conditionalFormatting>
  <conditionalFormatting sqref="L20:L25">
    <cfRule type="cellIs" dxfId="764" priority="14" operator="greaterThan">
      <formula>0</formula>
    </cfRule>
  </conditionalFormatting>
  <conditionalFormatting sqref="N10:N25">
    <cfRule type="cellIs" dxfId="763" priority="5" operator="greaterThan">
      <formula>0</formula>
    </cfRule>
  </conditionalFormatting>
  <conditionalFormatting sqref="N21:N22">
    <cfRule type="cellIs" dxfId="762" priority="8" operator="greaterThan">
      <formula>0</formula>
    </cfRule>
  </conditionalFormatting>
  <conditionalFormatting sqref="N24:N25">
    <cfRule type="cellIs" dxfId="761" priority="6" operator="greaterThan">
      <formula>0</formula>
    </cfRule>
  </conditionalFormatting>
  <conditionalFormatting sqref="P10:P25">
    <cfRule type="cellIs" dxfId="760" priority="4" operator="greaterThan">
      <formula>0</formula>
    </cfRule>
  </conditionalFormatting>
  <conditionalFormatting sqref="R10:R25">
    <cfRule type="cellIs" dxfId="759" priority="3" operator="greaterThan">
      <formula>0</formula>
    </cfRule>
  </conditionalFormatting>
  <conditionalFormatting sqref="T10:T25">
    <cfRule type="cellIs" dxfId="758" priority="2" operator="greaterThan">
      <formula>0</formula>
    </cfRule>
  </conditionalFormatting>
  <conditionalFormatting sqref="V10:V25">
    <cfRule type="cellIs" dxfId="757" priority="1" operator="greaterThan">
      <formula>0</formula>
    </cfRule>
  </conditionalFormatting>
  <conditionalFormatting sqref="AH6:AL25">
    <cfRule type="containsText" dxfId="756" priority="40" operator="containsText" text="E">
      <formula>NOT(ISERROR(SEARCH("E",AH6)))</formula>
    </cfRule>
    <cfRule type="containsText" dxfId="755" priority="41" operator="containsText" text="P">
      <formula>NOT(ISERROR(SEARCH("P",AH6)))</formula>
    </cfRule>
  </conditionalFormatting>
  <dataValidations count="3">
    <dataValidation allowBlank="1" showInputMessage="1" showErrorMessage="1" prompt="Relacione la letra P en el mes que se planea la actividad" sqref="P6:P9 N6:N9 J6:J9 L6:L9 R6:R9 AD6:AD9 V6:V9 AB6:AB9 Z6:Z9 X6:X9 T6:T9" xr:uid="{00000000-0002-0000-0100-000000000000}"/>
    <dataValidation allowBlank="1" showInputMessage="1" showErrorMessage="1" prompt="Relacione la letra E en el mes que se ejecuta la actividad" sqref="AE6:AG9 O6:O9 K9 M6:M9 S6:S9 AC6:AC9 AA6:AA9 Y6:Y9 W6:W9 Q6:Q9 K6:K7 U6:U9" xr:uid="{00000000-0002-0000-0100-000001000000}"/>
    <dataValidation allowBlank="1" showErrorMessage="1" prompt="Relacione la letra E en el mes que se ejecuta la actividad" sqref="AH6:AL25" xr:uid="{00000000-0002-0000-0100-000002000000}"/>
  </dataValidations>
  <pageMargins left="0.7" right="0.7" top="0.75" bottom="0.75" header="0.3" footer="0.3"/>
  <pageSetup orientation="portrait" verticalDpi="3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dimension ref="A1:R19"/>
  <sheetViews>
    <sheetView showGridLines="0" zoomScale="60" zoomScaleNormal="60" workbookViewId="0">
      <pane ySplit="4" topLeftCell="A5" activePane="bottomLeft" state="frozen"/>
      <selection activeCell="A4" sqref="A4"/>
      <selection pane="bottomLeft" activeCell="E40" sqref="E40"/>
    </sheetView>
  </sheetViews>
  <sheetFormatPr baseColWidth="10" defaultColWidth="11.42578125" defaultRowHeight="12.75"/>
  <cols>
    <col min="1" max="1" width="71.42578125" style="2" customWidth="1"/>
    <col min="2" max="2" width="25.5703125" style="3" customWidth="1"/>
    <col min="3" max="3" width="53.28515625" style="3" customWidth="1"/>
    <col min="4" max="4" width="16.42578125" style="3" customWidth="1"/>
    <col min="5" max="5" width="15.7109375" style="3" customWidth="1"/>
    <col min="6" max="6" width="17.140625" style="3" customWidth="1"/>
    <col min="7" max="7" width="17" style="3" customWidth="1"/>
    <col min="8" max="8" width="18.140625" style="3" customWidth="1"/>
    <col min="9" max="10" width="21.5703125" style="3" customWidth="1"/>
    <col min="11" max="11" width="23.5703125" style="3" customWidth="1"/>
    <col min="12" max="12" width="22.42578125" style="3" customWidth="1"/>
    <col min="13" max="13" width="21.85546875" style="3" customWidth="1"/>
    <col min="14" max="14" width="19.85546875" style="3" customWidth="1"/>
    <col min="15" max="15" width="15.140625" style="3" customWidth="1"/>
    <col min="16" max="16" width="13.140625" style="3" customWidth="1"/>
    <col min="17" max="17" width="13.85546875" style="3" customWidth="1"/>
    <col min="18" max="18" width="15.28515625" style="3" customWidth="1"/>
    <col min="19" max="16384" width="11.42578125" style="1"/>
  </cols>
  <sheetData>
    <row r="1" spans="1:18" ht="53.85" customHeight="1">
      <c r="A1" s="413"/>
      <c r="B1" s="515" t="s">
        <v>0</v>
      </c>
      <c r="C1" s="515"/>
      <c r="D1" s="515"/>
      <c r="E1" s="515"/>
      <c r="F1" s="515"/>
      <c r="G1" s="515"/>
      <c r="H1" s="515"/>
      <c r="I1" s="515"/>
      <c r="J1" s="515"/>
      <c r="K1" s="515"/>
      <c r="L1" s="515"/>
      <c r="M1" s="515"/>
      <c r="N1" s="515"/>
      <c r="O1" s="515"/>
      <c r="P1" s="515"/>
      <c r="Q1" s="515"/>
      <c r="R1" s="515"/>
    </row>
    <row r="2" spans="1:18" ht="72.75" customHeight="1">
      <c r="A2" s="413"/>
      <c r="B2" s="516" t="s">
        <v>257</v>
      </c>
      <c r="C2" s="517"/>
      <c r="D2" s="517"/>
      <c r="E2" s="517"/>
      <c r="F2" s="517"/>
      <c r="G2" s="517"/>
      <c r="H2" s="517"/>
      <c r="I2" s="517"/>
      <c r="J2" s="517"/>
      <c r="K2" s="517"/>
      <c r="L2" s="517"/>
      <c r="M2" s="517"/>
      <c r="N2" s="517"/>
      <c r="O2" s="517"/>
      <c r="P2" s="517"/>
      <c r="Q2" s="517"/>
      <c r="R2" s="518"/>
    </row>
    <row r="3" spans="1:18" ht="23.25" customHeight="1">
      <c r="A3" s="519" t="s">
        <v>68</v>
      </c>
      <c r="B3" s="520" t="s">
        <v>81</v>
      </c>
      <c r="C3" s="520" t="s">
        <v>82</v>
      </c>
      <c r="D3" s="87">
        <f>CRONOGRAMA!A10</f>
        <v>1</v>
      </c>
      <c r="E3" s="87">
        <f>CRONOGRAMA!A11</f>
        <v>2</v>
      </c>
      <c r="F3" s="87">
        <f>CRONOGRAMA!A12</f>
        <v>3</v>
      </c>
      <c r="G3" s="87">
        <f>CRONOGRAMA!A13</f>
        <v>4</v>
      </c>
      <c r="H3" s="87">
        <f>CRONOGRAMA!A14</f>
        <v>5</v>
      </c>
      <c r="I3" s="87">
        <f>CRONOGRAMA!A15</f>
        <v>6</v>
      </c>
      <c r="J3" s="87">
        <v>7</v>
      </c>
      <c r="K3" s="87">
        <f>CRONOGRAMA!A17</f>
        <v>8</v>
      </c>
      <c r="L3" s="87">
        <f>CRONOGRAMA!A18</f>
        <v>9</v>
      </c>
      <c r="M3" s="87">
        <f>CRONOGRAMA!A19</f>
        <v>10</v>
      </c>
      <c r="N3" s="87">
        <f>CRONOGRAMA!A20</f>
        <v>11</v>
      </c>
      <c r="O3" s="87">
        <f>CRONOGRAMA!A21</f>
        <v>12</v>
      </c>
      <c r="P3" s="87">
        <f>CRONOGRAMA!A22</f>
        <v>13</v>
      </c>
      <c r="Q3" s="87">
        <f>CRONOGRAMA!A23</f>
        <v>14</v>
      </c>
      <c r="R3" s="87">
        <f>CRONOGRAMA!A24</f>
        <v>15</v>
      </c>
    </row>
    <row r="4" spans="1:18" ht="60.75" customHeight="1">
      <c r="A4" s="519" t="s">
        <v>68</v>
      </c>
      <c r="B4" s="519" t="s">
        <v>81</v>
      </c>
      <c r="C4" s="519" t="s">
        <v>82</v>
      </c>
      <c r="D4" s="87" t="str">
        <f>CRONOGRAMA!E10</f>
        <v>Inducción y/o Reinducción HSEQ</v>
      </c>
      <c r="E4" s="87" t="str">
        <f>CRONOGRAMA!E11</f>
        <v>Induccion al cargo</v>
      </c>
      <c r="F4" s="87" t="str">
        <f>CRONOGRAMA!E12</f>
        <v>Inducción de Gestión Humana</v>
      </c>
      <c r="G4" s="87" t="str">
        <f>CRONOGRAMA!E13</f>
        <v>Primer Respondiente "Gente que Ayuda".</v>
      </c>
      <c r="H4" s="87" t="str">
        <f>CRONOGRAMA!E14</f>
        <v>Seguridad Víal</v>
      </c>
      <c r="I4" s="87" t="str">
        <f>CRONOGRAMA!E15</f>
        <v>Riesgo Publico &amp; Derechos Humanos</v>
      </c>
      <c r="J4" s="87" t="s">
        <v>384</v>
      </c>
      <c r="K4" s="87" t="str">
        <f>CRONOGRAMA!E17</f>
        <v>Excelencia_HSE</v>
      </c>
      <c r="L4" s="87" t="str">
        <f>CRONOGRAMA!E18</f>
        <v>Salud Publica</v>
      </c>
      <c r="M4" s="87" t="str">
        <f>CRONOGRAMA!E19</f>
        <v>Conservación y Cuidado del Medio Ambiente</v>
      </c>
      <c r="N4" s="87" t="str">
        <f>CRONOGRAMA!E20</f>
        <v xml:space="preserve">Well control </v>
      </c>
      <c r="O4" s="87" t="str">
        <f>CRONOGRAMA!E21</f>
        <v>Stuck Pipe/ Pega de Tuberías</v>
      </c>
      <c r="P4" s="87" t="str">
        <f>CRONOGRAMA!E22</f>
        <v>Rig Pass</v>
      </c>
      <c r="Q4" s="87" t="str">
        <f>CRONOGRAMA!E23</f>
        <v>Trabajo seguro en alturas:
Jefes de área para trabajos en alturas.</v>
      </c>
      <c r="R4" s="87" t="str">
        <f>CRONOGRAMA!E24</f>
        <v>HSEQ FRONTERA</v>
      </c>
    </row>
    <row r="5" spans="1:18" ht="19.5" customHeight="1">
      <c r="A5" s="82" t="s">
        <v>198</v>
      </c>
      <c r="B5" s="83" t="s">
        <v>199</v>
      </c>
      <c r="C5" s="84" t="s">
        <v>200</v>
      </c>
      <c r="D5" s="6" t="s">
        <v>28</v>
      </c>
      <c r="E5" s="6" t="s">
        <v>28</v>
      </c>
      <c r="F5" s="6" t="s">
        <v>28</v>
      </c>
      <c r="G5" s="6" t="s">
        <v>28</v>
      </c>
      <c r="H5" s="6" t="s">
        <v>28</v>
      </c>
      <c r="I5" s="6" t="s">
        <v>28</v>
      </c>
      <c r="J5" s="6" t="s">
        <v>28</v>
      </c>
      <c r="K5" s="6" t="s">
        <v>28</v>
      </c>
      <c r="L5" s="6" t="s">
        <v>28</v>
      </c>
      <c r="M5" s="6" t="s">
        <v>28</v>
      </c>
      <c r="N5" s="6"/>
      <c r="O5" s="6"/>
      <c r="P5" s="6"/>
      <c r="Q5" s="6" t="s">
        <v>28</v>
      </c>
      <c r="R5" s="6" t="s">
        <v>28</v>
      </c>
    </row>
    <row r="6" spans="1:18" ht="19.5" customHeight="1">
      <c r="A6" s="85" t="s">
        <v>201</v>
      </c>
      <c r="B6" s="83" t="s">
        <v>199</v>
      </c>
      <c r="C6" s="84" t="s">
        <v>200</v>
      </c>
      <c r="D6" s="6" t="s">
        <v>28</v>
      </c>
      <c r="E6" s="6" t="s">
        <v>28</v>
      </c>
      <c r="F6" s="6" t="s">
        <v>28</v>
      </c>
      <c r="G6" s="6" t="s">
        <v>28</v>
      </c>
      <c r="H6" s="6" t="s">
        <v>28</v>
      </c>
      <c r="I6" s="6" t="s">
        <v>28</v>
      </c>
      <c r="J6" s="6" t="s">
        <v>28</v>
      </c>
      <c r="K6" s="6" t="s">
        <v>28</v>
      </c>
      <c r="L6" s="6" t="s">
        <v>28</v>
      </c>
      <c r="M6" s="6" t="s">
        <v>28</v>
      </c>
      <c r="N6" s="6"/>
      <c r="O6" s="6"/>
      <c r="P6" s="6"/>
      <c r="Q6" s="6" t="s">
        <v>28</v>
      </c>
      <c r="R6" s="6" t="s">
        <v>28</v>
      </c>
    </row>
    <row r="7" spans="1:18" ht="19.5" customHeight="1">
      <c r="A7" s="85" t="s">
        <v>202</v>
      </c>
      <c r="B7" s="83" t="s">
        <v>199</v>
      </c>
      <c r="C7" s="86" t="s">
        <v>203</v>
      </c>
      <c r="D7" s="6" t="s">
        <v>28</v>
      </c>
      <c r="E7" s="6" t="s">
        <v>28</v>
      </c>
      <c r="F7" s="6" t="s">
        <v>28</v>
      </c>
      <c r="G7" s="6" t="s">
        <v>28</v>
      </c>
      <c r="H7" s="6" t="s">
        <v>28</v>
      </c>
      <c r="I7" s="6" t="s">
        <v>28</v>
      </c>
      <c r="J7" s="6" t="s">
        <v>28</v>
      </c>
      <c r="K7" s="6" t="s">
        <v>28</v>
      </c>
      <c r="L7" s="6" t="s">
        <v>28</v>
      </c>
      <c r="M7" s="6" t="s">
        <v>28</v>
      </c>
      <c r="N7" s="6"/>
      <c r="O7" s="6"/>
      <c r="P7" s="6"/>
      <c r="Q7" s="6" t="s">
        <v>28</v>
      </c>
      <c r="R7" s="6" t="s">
        <v>28</v>
      </c>
    </row>
    <row r="8" spans="1:18" ht="19.5" customHeight="1">
      <c r="A8" s="85" t="s">
        <v>204</v>
      </c>
      <c r="B8" s="83" t="s">
        <v>199</v>
      </c>
      <c r="C8" s="86" t="s">
        <v>203</v>
      </c>
      <c r="D8" s="6" t="s">
        <v>28</v>
      </c>
      <c r="E8" s="6" t="s">
        <v>28</v>
      </c>
      <c r="F8" s="6" t="s">
        <v>28</v>
      </c>
      <c r="G8" s="6" t="s">
        <v>28</v>
      </c>
      <c r="H8" s="6" t="s">
        <v>28</v>
      </c>
      <c r="I8" s="6" t="s">
        <v>28</v>
      </c>
      <c r="J8" s="6" t="s">
        <v>28</v>
      </c>
      <c r="K8" s="6" t="s">
        <v>28</v>
      </c>
      <c r="L8" s="6" t="s">
        <v>28</v>
      </c>
      <c r="M8" s="6" t="s">
        <v>28</v>
      </c>
      <c r="N8" s="6"/>
      <c r="O8" s="6"/>
      <c r="P8" s="6"/>
      <c r="Q8" s="6" t="s">
        <v>28</v>
      </c>
      <c r="R8" s="6" t="s">
        <v>28</v>
      </c>
    </row>
    <row r="9" spans="1:18" ht="19.5" customHeight="1">
      <c r="A9" s="85" t="s">
        <v>205</v>
      </c>
      <c r="B9" s="83" t="s">
        <v>199</v>
      </c>
      <c r="C9" s="86" t="s">
        <v>206</v>
      </c>
      <c r="D9" s="6" t="s">
        <v>28</v>
      </c>
      <c r="E9" s="6" t="s">
        <v>28</v>
      </c>
      <c r="F9" s="6" t="s">
        <v>28</v>
      </c>
      <c r="G9" s="6" t="s">
        <v>28</v>
      </c>
      <c r="H9" s="6" t="s">
        <v>28</v>
      </c>
      <c r="I9" s="6" t="s">
        <v>28</v>
      </c>
      <c r="J9" s="6" t="s">
        <v>28</v>
      </c>
      <c r="K9" s="6" t="s">
        <v>28</v>
      </c>
      <c r="L9" s="6" t="s">
        <v>28</v>
      </c>
      <c r="M9" s="6" t="s">
        <v>28</v>
      </c>
      <c r="N9" s="6"/>
      <c r="O9" s="6"/>
      <c r="P9" s="6"/>
      <c r="Q9" s="6" t="s">
        <v>28</v>
      </c>
      <c r="R9" s="6" t="s">
        <v>28</v>
      </c>
    </row>
    <row r="10" spans="1:18" ht="19.5" customHeight="1">
      <c r="A10" s="85" t="s">
        <v>207</v>
      </c>
      <c r="B10" s="83" t="s">
        <v>199</v>
      </c>
      <c r="C10" s="86" t="s">
        <v>206</v>
      </c>
      <c r="D10" s="6" t="s">
        <v>28</v>
      </c>
      <c r="E10" s="6" t="s">
        <v>28</v>
      </c>
      <c r="F10" s="6" t="s">
        <v>28</v>
      </c>
      <c r="G10" s="6" t="s">
        <v>28</v>
      </c>
      <c r="H10" s="6" t="s">
        <v>28</v>
      </c>
      <c r="I10" s="6" t="s">
        <v>28</v>
      </c>
      <c r="J10" s="6" t="s">
        <v>28</v>
      </c>
      <c r="K10" s="6" t="s">
        <v>28</v>
      </c>
      <c r="L10" s="6" t="s">
        <v>28</v>
      </c>
      <c r="M10" s="6" t="s">
        <v>28</v>
      </c>
      <c r="N10" s="6"/>
      <c r="O10" s="6"/>
      <c r="P10" s="6"/>
      <c r="Q10" s="6" t="s">
        <v>28</v>
      </c>
      <c r="R10" s="6" t="s">
        <v>28</v>
      </c>
    </row>
    <row r="11" spans="1:18" ht="19.5" customHeight="1">
      <c r="A11" s="85" t="s">
        <v>208</v>
      </c>
      <c r="B11" s="83" t="s">
        <v>199</v>
      </c>
      <c r="C11" s="86" t="s">
        <v>206</v>
      </c>
      <c r="D11" s="6" t="s">
        <v>28</v>
      </c>
      <c r="E11" s="6" t="s">
        <v>28</v>
      </c>
      <c r="F11" s="6" t="s">
        <v>28</v>
      </c>
      <c r="G11" s="6" t="s">
        <v>28</v>
      </c>
      <c r="H11" s="6" t="s">
        <v>28</v>
      </c>
      <c r="I11" s="6" t="s">
        <v>28</v>
      </c>
      <c r="J11" s="6" t="s">
        <v>28</v>
      </c>
      <c r="K11" s="6" t="s">
        <v>28</v>
      </c>
      <c r="L11" s="6" t="s">
        <v>28</v>
      </c>
      <c r="M11" s="6" t="s">
        <v>28</v>
      </c>
      <c r="N11" s="6"/>
      <c r="O11" s="6"/>
      <c r="P11" s="6"/>
      <c r="Q11" s="6" t="s">
        <v>28</v>
      </c>
      <c r="R11" s="6" t="s">
        <v>28</v>
      </c>
    </row>
    <row r="12" spans="1:18" ht="19.5" customHeight="1">
      <c r="A12" s="85" t="s">
        <v>209</v>
      </c>
      <c r="B12" s="83" t="s">
        <v>199</v>
      </c>
      <c r="C12" s="86" t="s">
        <v>83</v>
      </c>
      <c r="D12" s="6" t="s">
        <v>28</v>
      </c>
      <c r="E12" s="6" t="s">
        <v>28</v>
      </c>
      <c r="F12" s="6" t="s">
        <v>28</v>
      </c>
      <c r="G12" s="6" t="s">
        <v>28</v>
      </c>
      <c r="H12" s="6" t="s">
        <v>28</v>
      </c>
      <c r="I12" s="6" t="s">
        <v>28</v>
      </c>
      <c r="J12" s="6" t="s">
        <v>28</v>
      </c>
      <c r="K12" s="6" t="s">
        <v>28</v>
      </c>
      <c r="L12" s="6" t="s">
        <v>28</v>
      </c>
      <c r="M12" s="6" t="s">
        <v>28</v>
      </c>
      <c r="N12" s="6"/>
      <c r="O12" s="6"/>
      <c r="P12" s="6"/>
      <c r="Q12" s="6" t="s">
        <v>28</v>
      </c>
      <c r="R12" s="6" t="s">
        <v>28</v>
      </c>
    </row>
    <row r="13" spans="1:18" ht="19.5" customHeight="1">
      <c r="A13" s="85" t="s">
        <v>210</v>
      </c>
      <c r="B13" s="83" t="s">
        <v>199</v>
      </c>
      <c r="C13" s="86" t="s">
        <v>83</v>
      </c>
      <c r="D13" s="6" t="s">
        <v>28</v>
      </c>
      <c r="E13" s="6" t="s">
        <v>28</v>
      </c>
      <c r="F13" s="6" t="s">
        <v>28</v>
      </c>
      <c r="G13" s="6" t="s">
        <v>28</v>
      </c>
      <c r="H13" s="6" t="s">
        <v>28</v>
      </c>
      <c r="I13" s="6" t="s">
        <v>28</v>
      </c>
      <c r="J13" s="6" t="s">
        <v>28</v>
      </c>
      <c r="K13" s="6" t="s">
        <v>28</v>
      </c>
      <c r="L13" s="6" t="s">
        <v>28</v>
      </c>
      <c r="M13" s="6" t="s">
        <v>28</v>
      </c>
      <c r="N13" s="6"/>
      <c r="O13" s="6"/>
      <c r="P13" s="6"/>
      <c r="Q13" s="6" t="s">
        <v>28</v>
      </c>
      <c r="R13" s="6" t="s">
        <v>28</v>
      </c>
    </row>
    <row r="14" spans="1:18" ht="19.5" customHeight="1">
      <c r="A14" s="85" t="s">
        <v>212</v>
      </c>
      <c r="B14" s="83" t="s">
        <v>81</v>
      </c>
      <c r="C14" s="86" t="s">
        <v>83</v>
      </c>
      <c r="D14" s="6" t="s">
        <v>28</v>
      </c>
      <c r="E14" s="6" t="s">
        <v>28</v>
      </c>
      <c r="F14" s="6" t="s">
        <v>28</v>
      </c>
      <c r="G14" s="6" t="s">
        <v>28</v>
      </c>
      <c r="H14" s="6" t="s">
        <v>28</v>
      </c>
      <c r="I14" s="6" t="s">
        <v>28</v>
      </c>
      <c r="J14" s="6" t="s">
        <v>28</v>
      </c>
      <c r="K14" s="6" t="s">
        <v>28</v>
      </c>
      <c r="L14" s="6" t="s">
        <v>28</v>
      </c>
      <c r="M14" s="6" t="s">
        <v>28</v>
      </c>
      <c r="N14" s="6"/>
      <c r="O14" s="6"/>
      <c r="P14" s="6"/>
      <c r="Q14" s="6" t="s">
        <v>28</v>
      </c>
      <c r="R14" s="6" t="s">
        <v>28</v>
      </c>
    </row>
    <row r="15" spans="1:18" ht="19.5" customHeight="1">
      <c r="A15" s="85" t="s">
        <v>213</v>
      </c>
      <c r="B15" s="83" t="s">
        <v>81</v>
      </c>
      <c r="C15" s="86" t="s">
        <v>83</v>
      </c>
      <c r="D15" s="6" t="s">
        <v>28</v>
      </c>
      <c r="E15" s="6" t="s">
        <v>28</v>
      </c>
      <c r="F15" s="6" t="s">
        <v>28</v>
      </c>
      <c r="G15" s="6" t="s">
        <v>28</v>
      </c>
      <c r="H15" s="6" t="s">
        <v>28</v>
      </c>
      <c r="I15" s="6" t="s">
        <v>28</v>
      </c>
      <c r="J15" s="6" t="s">
        <v>28</v>
      </c>
      <c r="K15" s="6" t="s">
        <v>28</v>
      </c>
      <c r="L15" s="6" t="s">
        <v>28</v>
      </c>
      <c r="M15" s="6" t="s">
        <v>28</v>
      </c>
      <c r="N15" s="6"/>
      <c r="O15" s="6"/>
      <c r="P15" s="6"/>
      <c r="Q15" s="6" t="s">
        <v>28</v>
      </c>
      <c r="R15" s="6" t="s">
        <v>28</v>
      </c>
    </row>
    <row r="16" spans="1:18" ht="21">
      <c r="A16" s="85" t="s">
        <v>214</v>
      </c>
      <c r="B16" s="83" t="s">
        <v>81</v>
      </c>
      <c r="C16" s="86" t="s">
        <v>83</v>
      </c>
      <c r="D16" s="6" t="s">
        <v>28</v>
      </c>
      <c r="E16" s="6" t="s">
        <v>28</v>
      </c>
      <c r="F16" s="6" t="s">
        <v>28</v>
      </c>
      <c r="G16" s="6" t="s">
        <v>28</v>
      </c>
      <c r="H16" s="6" t="s">
        <v>28</v>
      </c>
      <c r="I16" s="6" t="s">
        <v>28</v>
      </c>
      <c r="J16" s="6" t="s">
        <v>28</v>
      </c>
      <c r="K16" s="6" t="s">
        <v>28</v>
      </c>
      <c r="L16" s="6" t="s">
        <v>28</v>
      </c>
      <c r="M16" s="6" t="s">
        <v>28</v>
      </c>
      <c r="N16" s="88"/>
      <c r="O16" s="88"/>
      <c r="P16" s="88"/>
      <c r="Q16" s="6" t="s">
        <v>28</v>
      </c>
      <c r="R16" s="6" t="s">
        <v>28</v>
      </c>
    </row>
    <row r="17" spans="1:18" ht="21">
      <c r="A17" s="85" t="s">
        <v>215</v>
      </c>
      <c r="B17" s="83" t="s">
        <v>81</v>
      </c>
      <c r="C17" s="86" t="s">
        <v>83</v>
      </c>
      <c r="D17" s="6" t="s">
        <v>28</v>
      </c>
      <c r="E17" s="6" t="s">
        <v>28</v>
      </c>
      <c r="F17" s="6" t="s">
        <v>28</v>
      </c>
      <c r="G17" s="6" t="s">
        <v>28</v>
      </c>
      <c r="H17" s="6" t="s">
        <v>28</v>
      </c>
      <c r="I17" s="6" t="s">
        <v>28</v>
      </c>
      <c r="J17" s="6" t="s">
        <v>28</v>
      </c>
      <c r="K17" s="6" t="s">
        <v>28</v>
      </c>
      <c r="L17" s="6" t="s">
        <v>28</v>
      </c>
      <c r="M17" s="6" t="s">
        <v>28</v>
      </c>
      <c r="N17" s="6" t="s">
        <v>28</v>
      </c>
      <c r="O17" s="6" t="s">
        <v>28</v>
      </c>
      <c r="P17" s="6" t="s">
        <v>28</v>
      </c>
      <c r="Q17" s="6" t="s">
        <v>28</v>
      </c>
      <c r="R17" s="6" t="s">
        <v>28</v>
      </c>
    </row>
    <row r="18" spans="1:18" ht="21">
      <c r="A18" s="85" t="s">
        <v>216</v>
      </c>
      <c r="B18" s="83" t="s">
        <v>81</v>
      </c>
      <c r="C18" s="86" t="s">
        <v>83</v>
      </c>
      <c r="D18" s="6" t="s">
        <v>28</v>
      </c>
      <c r="E18" s="6" t="s">
        <v>28</v>
      </c>
      <c r="F18" s="6" t="s">
        <v>28</v>
      </c>
      <c r="G18" s="6" t="s">
        <v>28</v>
      </c>
      <c r="H18" s="6" t="s">
        <v>28</v>
      </c>
      <c r="I18" s="6" t="s">
        <v>28</v>
      </c>
      <c r="J18" s="6" t="s">
        <v>28</v>
      </c>
      <c r="K18" s="6" t="s">
        <v>28</v>
      </c>
      <c r="L18" s="6" t="s">
        <v>28</v>
      </c>
      <c r="M18" s="6" t="s">
        <v>28</v>
      </c>
      <c r="N18" s="6" t="s">
        <v>28</v>
      </c>
      <c r="O18" s="6" t="s">
        <v>28</v>
      </c>
      <c r="P18" s="6" t="s">
        <v>28</v>
      </c>
      <c r="Q18" s="6" t="s">
        <v>28</v>
      </c>
      <c r="R18" s="6" t="s">
        <v>28</v>
      </c>
    </row>
    <row r="19" spans="1:18" ht="21">
      <c r="A19" s="85" t="s">
        <v>217</v>
      </c>
      <c r="B19" s="83" t="s">
        <v>81</v>
      </c>
      <c r="C19" s="86" t="s">
        <v>83</v>
      </c>
      <c r="D19" s="6" t="s">
        <v>28</v>
      </c>
      <c r="E19" s="6" t="s">
        <v>28</v>
      </c>
      <c r="F19" s="6" t="s">
        <v>28</v>
      </c>
      <c r="G19" s="6" t="s">
        <v>28</v>
      </c>
      <c r="H19" s="6" t="s">
        <v>28</v>
      </c>
      <c r="I19" s="6" t="s">
        <v>28</v>
      </c>
      <c r="J19" s="6" t="s">
        <v>28</v>
      </c>
      <c r="K19" s="6" t="s">
        <v>28</v>
      </c>
      <c r="L19" s="6" t="s">
        <v>28</v>
      </c>
      <c r="M19" s="6" t="s">
        <v>28</v>
      </c>
      <c r="N19" s="6" t="s">
        <v>28</v>
      </c>
      <c r="O19" s="6" t="s">
        <v>28</v>
      </c>
      <c r="P19" s="6" t="s">
        <v>28</v>
      </c>
      <c r="Q19" s="6" t="s">
        <v>28</v>
      </c>
      <c r="R19" s="6" t="s">
        <v>28</v>
      </c>
    </row>
  </sheetData>
  <mergeCells count="6">
    <mergeCell ref="A1:A2"/>
    <mergeCell ref="B1:R1"/>
    <mergeCell ref="B2:R2"/>
    <mergeCell ref="A3:A4"/>
    <mergeCell ref="B3:B4"/>
    <mergeCell ref="C3:C4"/>
  </mergeCells>
  <conditionalFormatting sqref="K5:P5 D5:J19 N6:P15 K6:M19">
    <cfRule type="cellIs" dxfId="754" priority="8" stopIfTrue="1" operator="greaterThan">
      <formula>0</formula>
    </cfRule>
  </conditionalFormatting>
  <conditionalFormatting sqref="N17:P19">
    <cfRule type="cellIs" dxfId="753" priority="3" stopIfTrue="1" operator="greaterThan">
      <formula>0</formula>
    </cfRule>
  </conditionalFormatting>
  <conditionalFormatting sqref="Q5:R19">
    <cfRule type="cellIs" dxfId="752" priority="1" stopIfTrue="1" operator="greaterThan">
      <formula>0</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9" filterMode="1"/>
  <dimension ref="A1:CC68"/>
  <sheetViews>
    <sheetView showGridLines="0" tabSelected="1" zoomScale="70" zoomScaleNormal="70" workbookViewId="0">
      <pane xSplit="3" ySplit="9" topLeftCell="D10" activePane="bottomRight" state="frozen"/>
      <selection pane="topRight" activeCell="D1" sqref="D1"/>
      <selection pane="bottomLeft" activeCell="A10" sqref="A10"/>
      <selection pane="bottomRight" activeCell="BA46" sqref="BA46"/>
    </sheetView>
  </sheetViews>
  <sheetFormatPr baseColWidth="10" defaultColWidth="11.42578125" defaultRowHeight="12.75"/>
  <cols>
    <col min="1" max="1" width="5.140625" style="5" customWidth="1"/>
    <col min="2" max="2" width="10" style="17" customWidth="1"/>
    <col min="3" max="3" width="53.42578125" style="4" customWidth="1"/>
    <col min="4" max="4" width="20.5703125" style="4" customWidth="1"/>
    <col min="5" max="5" width="38.42578125" style="4" customWidth="1"/>
    <col min="6" max="6" width="31.42578125" style="19" customWidth="1"/>
    <col min="7" max="7" width="25.85546875" style="19" customWidth="1"/>
    <col min="8" max="8" width="19" style="18" customWidth="1"/>
    <col min="9" max="9" width="13.42578125" style="19" customWidth="1"/>
    <col min="10" max="10" width="9.7109375" style="4" customWidth="1"/>
    <col min="11" max="11" width="7" style="4" customWidth="1"/>
    <col min="12" max="12" width="9.140625" style="4" customWidth="1"/>
    <col min="13" max="13" width="16.28515625" style="4" customWidth="1"/>
    <col min="14" max="14" width="6.42578125" style="4" customWidth="1"/>
    <col min="15" max="16" width="7" style="4" customWidth="1"/>
    <col min="17" max="17" width="14.85546875" style="4" customWidth="1"/>
    <col min="18" max="20" width="7" style="4" customWidth="1"/>
    <col min="21" max="21" width="13.7109375" style="4" customWidth="1"/>
    <col min="22" max="24" width="7" style="4" customWidth="1"/>
    <col min="25" max="25" width="15.85546875" style="4" customWidth="1"/>
    <col min="26" max="28" width="7" style="4" customWidth="1"/>
    <col min="29" max="29" width="13.85546875" style="4" customWidth="1"/>
    <col min="30" max="32" width="7" style="4" customWidth="1"/>
    <col min="33" max="33" width="12" style="4" customWidth="1"/>
    <col min="34" max="37" width="8.28515625" style="4" customWidth="1"/>
    <col min="38" max="40" width="7" style="4" customWidth="1"/>
    <col min="41" max="41" width="15" style="4" customWidth="1"/>
    <col min="42" max="44" width="7" style="4" hidden="1" customWidth="1"/>
    <col min="45" max="45" width="11.85546875" style="4" hidden="1" customWidth="1"/>
    <col min="46" max="48" width="7" style="4" hidden="1" customWidth="1"/>
    <col min="49" max="49" width="11.85546875" style="4" hidden="1" customWidth="1"/>
    <col min="50" max="52" width="7" style="4" customWidth="1"/>
    <col min="53" max="53" width="15.42578125" style="4" customWidth="1"/>
    <col min="54" max="56" width="7" style="4" customWidth="1"/>
    <col min="57" max="57" width="17.28515625" style="4" customWidth="1"/>
    <col min="58" max="60" width="7" style="4" customWidth="1"/>
    <col min="61" max="61" width="16.140625" style="4" customWidth="1"/>
    <col min="62" max="64" width="7" style="4" customWidth="1"/>
    <col min="65" max="65" width="18.42578125" style="4" customWidth="1"/>
    <col min="66" max="66" width="9.140625" style="4" customWidth="1"/>
    <col min="67" max="67" width="6.5703125" style="4" customWidth="1"/>
    <col min="68" max="68" width="7.7109375" style="4" customWidth="1"/>
    <col min="69" max="69" width="14.140625" style="4" customWidth="1"/>
    <col min="70" max="72" width="7" style="4" customWidth="1"/>
    <col min="73" max="73" width="17.28515625" style="4" customWidth="1"/>
    <col min="74" max="74" width="15.140625" style="4" customWidth="1"/>
    <col min="75" max="16384" width="11.42578125" style="4"/>
  </cols>
  <sheetData>
    <row r="1" spans="1:81" ht="47.85" customHeight="1">
      <c r="A1" s="350"/>
      <c r="B1" s="351"/>
      <c r="C1" s="352"/>
      <c r="D1" s="377" t="s">
        <v>0</v>
      </c>
      <c r="E1" s="378"/>
      <c r="F1" s="378"/>
      <c r="G1" s="378"/>
      <c r="H1" s="378"/>
      <c r="I1" s="378"/>
      <c r="J1" s="378"/>
      <c r="K1" s="378"/>
      <c r="L1" s="378"/>
      <c r="M1" s="378"/>
      <c r="N1" s="378"/>
      <c r="O1" s="378"/>
      <c r="P1" s="378"/>
      <c r="Q1" s="378"/>
      <c r="R1" s="378"/>
      <c r="S1" s="378"/>
      <c r="T1" s="378"/>
      <c r="U1" s="378"/>
      <c r="V1" s="378"/>
      <c r="W1" s="378"/>
      <c r="X1" s="378"/>
      <c r="Y1" s="378"/>
      <c r="Z1" s="378"/>
      <c r="AA1" s="378"/>
      <c r="AB1" s="378"/>
      <c r="AC1" s="378"/>
      <c r="AD1" s="378"/>
      <c r="AE1" s="378"/>
      <c r="AF1" s="378"/>
      <c r="AG1" s="378"/>
      <c r="AH1" s="378"/>
      <c r="AI1" s="378"/>
      <c r="AJ1" s="378"/>
      <c r="AK1" s="378"/>
      <c r="AL1" s="378"/>
      <c r="AM1" s="378"/>
      <c r="AN1" s="378"/>
      <c r="AO1" s="378"/>
      <c r="AP1" s="378"/>
      <c r="AQ1" s="378"/>
      <c r="AR1" s="378"/>
      <c r="AS1" s="378"/>
      <c r="AT1" s="378"/>
      <c r="AU1" s="378"/>
      <c r="AV1" s="378"/>
      <c r="AW1" s="378"/>
      <c r="AX1" s="378"/>
      <c r="AY1" s="378"/>
      <c r="AZ1" s="378"/>
      <c r="BA1" s="378"/>
      <c r="BB1" s="378"/>
      <c r="BC1" s="378"/>
      <c r="BD1" s="378"/>
      <c r="BE1" s="378"/>
      <c r="BF1" s="378"/>
      <c r="BG1" s="378"/>
      <c r="BH1" s="378"/>
      <c r="BI1" s="378"/>
      <c r="BJ1" s="378"/>
      <c r="BK1" s="378"/>
      <c r="BL1" s="378"/>
      <c r="BM1" s="378"/>
      <c r="BN1" s="378"/>
      <c r="BO1" s="378"/>
      <c r="BP1" s="378"/>
      <c r="BQ1" s="378"/>
      <c r="BR1" s="378"/>
      <c r="BS1" s="378"/>
      <c r="BT1" s="378"/>
      <c r="BU1" s="378"/>
      <c r="BV1" s="79"/>
    </row>
    <row r="2" spans="1:81" ht="47.85" customHeight="1" thickBot="1">
      <c r="A2" s="353"/>
      <c r="B2" s="354"/>
      <c r="C2" s="355"/>
      <c r="D2" s="381"/>
      <c r="E2" s="382"/>
      <c r="F2" s="382"/>
      <c r="G2" s="382"/>
      <c r="H2" s="382"/>
      <c r="I2" s="382"/>
      <c r="J2" s="382"/>
      <c r="K2" s="382"/>
      <c r="L2" s="382"/>
      <c r="M2" s="382"/>
      <c r="N2" s="382"/>
      <c r="O2" s="382"/>
      <c r="P2" s="382"/>
      <c r="Q2" s="382"/>
      <c r="R2" s="382"/>
      <c r="S2" s="382"/>
      <c r="T2" s="382"/>
      <c r="U2" s="382"/>
      <c r="V2" s="382"/>
      <c r="W2" s="382"/>
      <c r="X2" s="382"/>
      <c r="Y2" s="382"/>
      <c r="Z2" s="382"/>
      <c r="AA2" s="382"/>
      <c r="AB2" s="382"/>
      <c r="AC2" s="382"/>
      <c r="AD2" s="382"/>
      <c r="AE2" s="382"/>
      <c r="AF2" s="382"/>
      <c r="AG2" s="382"/>
      <c r="AH2" s="382"/>
      <c r="AI2" s="382"/>
      <c r="AJ2" s="382"/>
      <c r="AK2" s="382"/>
      <c r="AL2" s="382"/>
      <c r="AM2" s="382"/>
      <c r="AN2" s="382"/>
      <c r="AO2" s="382"/>
      <c r="AP2" s="382"/>
      <c r="AQ2" s="382"/>
      <c r="AR2" s="382"/>
      <c r="AS2" s="382"/>
      <c r="AT2" s="382"/>
      <c r="AU2" s="382"/>
      <c r="AV2" s="382"/>
      <c r="AW2" s="382"/>
      <c r="AX2" s="382"/>
      <c r="AY2" s="382"/>
      <c r="AZ2" s="382"/>
      <c r="BA2" s="382"/>
      <c r="BB2" s="382"/>
      <c r="BC2" s="382"/>
      <c r="BD2" s="382"/>
      <c r="BE2" s="382"/>
      <c r="BF2" s="382"/>
      <c r="BG2" s="382"/>
      <c r="BH2" s="382"/>
      <c r="BI2" s="382"/>
      <c r="BJ2" s="382"/>
      <c r="BK2" s="382"/>
      <c r="BL2" s="382"/>
      <c r="BM2" s="382"/>
      <c r="BN2" s="382"/>
      <c r="BO2" s="382"/>
      <c r="BP2" s="382"/>
      <c r="BQ2" s="382"/>
      <c r="BR2" s="382"/>
      <c r="BS2" s="382"/>
      <c r="BT2" s="382"/>
      <c r="BU2" s="382"/>
      <c r="BV2" s="79"/>
    </row>
    <row r="3" spans="1:81" s="75" customFormat="1" ht="16.5" customHeight="1">
      <c r="A3" s="368" t="s">
        <v>182</v>
      </c>
      <c r="B3" s="369"/>
      <c r="C3" s="370"/>
      <c r="D3" s="377" t="s">
        <v>330</v>
      </c>
      <c r="E3" s="378"/>
      <c r="F3" s="378"/>
      <c r="G3" s="378"/>
      <c r="H3" s="378"/>
      <c r="I3" s="378"/>
      <c r="J3" s="378"/>
      <c r="K3" s="378"/>
      <c r="L3" s="378"/>
      <c r="M3" s="378"/>
      <c r="N3" s="378"/>
      <c r="O3" s="378"/>
      <c r="P3" s="378"/>
      <c r="Q3" s="378"/>
      <c r="R3" s="378"/>
      <c r="S3" s="378"/>
      <c r="T3" s="378"/>
      <c r="U3" s="378"/>
      <c r="V3" s="378"/>
      <c r="W3" s="378"/>
      <c r="X3" s="378"/>
      <c r="Y3" s="378"/>
      <c r="Z3" s="378"/>
      <c r="AA3" s="378"/>
      <c r="AB3" s="378"/>
      <c r="AC3" s="378"/>
      <c r="AD3" s="378"/>
      <c r="AE3" s="378"/>
      <c r="AF3" s="378"/>
      <c r="AG3" s="378"/>
      <c r="AH3" s="378"/>
      <c r="AI3" s="378"/>
      <c r="AJ3" s="378"/>
      <c r="AK3" s="378"/>
      <c r="AL3" s="378"/>
      <c r="AM3" s="378"/>
      <c r="AN3" s="378"/>
      <c r="AO3" s="378"/>
      <c r="AP3" s="378"/>
      <c r="AQ3" s="378"/>
      <c r="AR3" s="378"/>
      <c r="AS3" s="378"/>
      <c r="AT3" s="378"/>
      <c r="AU3" s="378"/>
      <c r="AV3" s="378"/>
      <c r="AW3" s="378"/>
      <c r="AX3" s="378"/>
      <c r="AY3" s="378"/>
      <c r="AZ3" s="378"/>
      <c r="BA3" s="378"/>
      <c r="BB3" s="378"/>
      <c r="BC3" s="378"/>
      <c r="BD3" s="378"/>
      <c r="BE3" s="378"/>
      <c r="BF3" s="378"/>
      <c r="BG3" s="378"/>
      <c r="BH3" s="378"/>
      <c r="BI3" s="378"/>
      <c r="BJ3" s="378"/>
      <c r="BK3" s="378"/>
      <c r="BL3" s="378"/>
      <c r="BM3" s="378"/>
      <c r="BN3" s="378"/>
      <c r="BO3" s="378"/>
      <c r="BP3" s="378"/>
      <c r="BQ3" s="378"/>
      <c r="BR3" s="378"/>
      <c r="BS3" s="378"/>
      <c r="BT3" s="378"/>
      <c r="BU3" s="378"/>
      <c r="BV3" s="78"/>
    </row>
    <row r="4" spans="1:81" s="75" customFormat="1" ht="16.5" customHeight="1">
      <c r="A4" s="371"/>
      <c r="B4" s="372"/>
      <c r="C4" s="373"/>
      <c r="D4" s="379"/>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c r="AN4" s="380"/>
      <c r="AO4" s="380"/>
      <c r="AP4" s="380"/>
      <c r="AQ4" s="380"/>
      <c r="AR4" s="380"/>
      <c r="AS4" s="380"/>
      <c r="AT4" s="380"/>
      <c r="AU4" s="380"/>
      <c r="AV4" s="380"/>
      <c r="AW4" s="380"/>
      <c r="AX4" s="380"/>
      <c r="AY4" s="380"/>
      <c r="AZ4" s="380"/>
      <c r="BA4" s="380"/>
      <c r="BB4" s="380"/>
      <c r="BC4" s="380"/>
      <c r="BD4" s="380"/>
      <c r="BE4" s="380"/>
      <c r="BF4" s="380"/>
      <c r="BG4" s="380"/>
      <c r="BH4" s="380"/>
      <c r="BI4" s="380"/>
      <c r="BJ4" s="380"/>
      <c r="BK4" s="380"/>
      <c r="BL4" s="380"/>
      <c r="BM4" s="380"/>
      <c r="BN4" s="380"/>
      <c r="BO4" s="380"/>
      <c r="BP4" s="380"/>
      <c r="BQ4" s="380"/>
      <c r="BR4" s="380"/>
      <c r="BS4" s="380"/>
      <c r="BT4" s="380"/>
      <c r="BU4" s="380"/>
      <c r="BV4" s="78"/>
    </row>
    <row r="5" spans="1:81" s="75" customFormat="1" ht="16.5" customHeight="1" thickBot="1">
      <c r="A5" s="374"/>
      <c r="B5" s="375"/>
      <c r="C5" s="376"/>
      <c r="D5" s="381"/>
      <c r="E5" s="382"/>
      <c r="F5" s="382"/>
      <c r="G5" s="382"/>
      <c r="H5" s="382"/>
      <c r="I5" s="382"/>
      <c r="J5" s="382"/>
      <c r="K5" s="382"/>
      <c r="L5" s="382"/>
      <c r="M5" s="382"/>
      <c r="N5" s="382"/>
      <c r="O5" s="382"/>
      <c r="P5" s="382"/>
      <c r="Q5" s="382"/>
      <c r="R5" s="382"/>
      <c r="S5" s="382"/>
      <c r="T5" s="382"/>
      <c r="U5" s="382"/>
      <c r="V5" s="382"/>
      <c r="W5" s="382"/>
      <c r="X5" s="382"/>
      <c r="Y5" s="382"/>
      <c r="Z5" s="382"/>
      <c r="AA5" s="382"/>
      <c r="AB5" s="382"/>
      <c r="AC5" s="382"/>
      <c r="AD5" s="382"/>
      <c r="AE5" s="382"/>
      <c r="AF5" s="382"/>
      <c r="AG5" s="382"/>
      <c r="AH5" s="382"/>
      <c r="AI5" s="382"/>
      <c r="AJ5" s="382"/>
      <c r="AK5" s="382"/>
      <c r="AL5" s="382"/>
      <c r="AM5" s="382"/>
      <c r="AN5" s="382"/>
      <c r="AO5" s="382"/>
      <c r="AP5" s="382"/>
      <c r="AQ5" s="382"/>
      <c r="AR5" s="382"/>
      <c r="AS5" s="382"/>
      <c r="AT5" s="382"/>
      <c r="AU5" s="382"/>
      <c r="AV5" s="382"/>
      <c r="AW5" s="382"/>
      <c r="AX5" s="380"/>
      <c r="AY5" s="380"/>
      <c r="AZ5" s="380"/>
      <c r="BA5" s="380"/>
      <c r="BB5" s="382"/>
      <c r="BC5" s="382"/>
      <c r="BD5" s="382"/>
      <c r="BE5" s="382"/>
      <c r="BF5" s="382"/>
      <c r="BG5" s="382"/>
      <c r="BH5" s="382"/>
      <c r="BI5" s="382"/>
      <c r="BJ5" s="382"/>
      <c r="BK5" s="382"/>
      <c r="BL5" s="382"/>
      <c r="BM5" s="382"/>
      <c r="BN5" s="382"/>
      <c r="BO5" s="382"/>
      <c r="BP5" s="382"/>
      <c r="BQ5" s="382"/>
      <c r="BR5" s="382"/>
      <c r="BS5" s="382"/>
      <c r="BT5" s="382"/>
      <c r="BU5" s="382"/>
      <c r="BV5" s="78"/>
    </row>
    <row r="6" spans="1:81" ht="18" customHeight="1" thickBot="1">
      <c r="A6" s="363" t="s">
        <v>85</v>
      </c>
      <c r="B6" s="363"/>
      <c r="C6" s="363"/>
      <c r="D6" s="363"/>
      <c r="E6" s="363"/>
      <c r="F6" s="363"/>
      <c r="G6" s="363"/>
      <c r="H6" s="363"/>
      <c r="I6" s="364"/>
      <c r="J6" s="365">
        <f>'MATRIZ POR CARGO'!D3</f>
        <v>1</v>
      </c>
      <c r="K6" s="366"/>
      <c r="L6" s="366"/>
      <c r="M6" s="367"/>
      <c r="N6" s="366">
        <f>'MATRIZ POR CARGO'!E3</f>
        <v>2</v>
      </c>
      <c r="O6" s="366"/>
      <c r="P6" s="366"/>
      <c r="Q6" s="366"/>
      <c r="R6" s="342">
        <f>'MATRIZ POR CARGO'!F3</f>
        <v>3</v>
      </c>
      <c r="S6" s="343"/>
      <c r="T6" s="343"/>
      <c r="U6" s="344"/>
      <c r="V6" s="343">
        <v>4</v>
      </c>
      <c r="W6" s="343"/>
      <c r="X6" s="343"/>
      <c r="Y6" s="343"/>
      <c r="Z6" s="383">
        <v>5</v>
      </c>
      <c r="AA6" s="384"/>
      <c r="AB6" s="384"/>
      <c r="AC6" s="385"/>
      <c r="AD6" s="343">
        <v>6</v>
      </c>
      <c r="AE6" s="343"/>
      <c r="AF6" s="343"/>
      <c r="AG6" s="343"/>
      <c r="AH6" s="342">
        <v>7</v>
      </c>
      <c r="AI6" s="343"/>
      <c r="AJ6" s="343"/>
      <c r="AK6" s="344"/>
      <c r="AL6" s="342">
        <v>8</v>
      </c>
      <c r="AM6" s="343"/>
      <c r="AN6" s="343"/>
      <c r="AO6" s="344"/>
      <c r="AP6" s="342">
        <v>9</v>
      </c>
      <c r="AQ6" s="343"/>
      <c r="AR6" s="343"/>
      <c r="AS6" s="344"/>
      <c r="AT6" s="342">
        <v>10</v>
      </c>
      <c r="AU6" s="343"/>
      <c r="AV6" s="343"/>
      <c r="AW6" s="344"/>
      <c r="AX6" s="383">
        <v>11</v>
      </c>
      <c r="AY6" s="384"/>
      <c r="AZ6" s="384"/>
      <c r="BA6" s="385"/>
      <c r="BB6" s="343">
        <v>12</v>
      </c>
      <c r="BC6" s="343"/>
      <c r="BD6" s="343"/>
      <c r="BE6" s="343"/>
      <c r="BF6" s="342">
        <v>13</v>
      </c>
      <c r="BG6" s="343"/>
      <c r="BH6" s="343"/>
      <c r="BI6" s="343"/>
      <c r="BJ6" s="342">
        <v>14</v>
      </c>
      <c r="BK6" s="343"/>
      <c r="BL6" s="343"/>
      <c r="BM6" s="344"/>
      <c r="BN6" s="343">
        <v>15</v>
      </c>
      <c r="BO6" s="343"/>
      <c r="BP6" s="343"/>
      <c r="BQ6" s="344"/>
      <c r="BR6" s="342">
        <v>16</v>
      </c>
      <c r="BS6" s="343"/>
      <c r="BT6" s="343"/>
      <c r="BU6" s="344"/>
    </row>
    <row r="7" spans="1:81" ht="50.25" customHeight="1" thickBot="1">
      <c r="A7" s="359"/>
      <c r="B7" s="359"/>
      <c r="C7" s="360"/>
      <c r="D7" s="360"/>
      <c r="E7" s="360"/>
      <c r="F7" s="360"/>
      <c r="G7" s="360"/>
      <c r="H7" s="360"/>
      <c r="I7" s="362"/>
      <c r="J7" s="345" t="str">
        <f>CRONOGRAMA!E10</f>
        <v>Inducción y/o Reinducción HSEQ</v>
      </c>
      <c r="K7" s="346"/>
      <c r="L7" s="346"/>
      <c r="M7" s="348"/>
      <c r="N7" s="349" t="str">
        <f>CRONOGRAMA!E11</f>
        <v>Induccion al cargo</v>
      </c>
      <c r="O7" s="346"/>
      <c r="P7" s="346"/>
      <c r="Q7" s="347"/>
      <c r="R7" s="345" t="str">
        <f>CRONOGRAMA!E12</f>
        <v>Inducción de Gestión Humana</v>
      </c>
      <c r="S7" s="346"/>
      <c r="T7" s="346"/>
      <c r="U7" s="348"/>
      <c r="V7" s="349" t="str">
        <f>CRONOGRAMA!E13</f>
        <v>Primer Respondiente "Gente que Ayuda".</v>
      </c>
      <c r="W7" s="346"/>
      <c r="X7" s="346"/>
      <c r="Y7" s="347"/>
      <c r="Z7" s="345" t="str">
        <f>CRONOGRAMA!E14</f>
        <v>Seguridad Víal</v>
      </c>
      <c r="AA7" s="346"/>
      <c r="AB7" s="346"/>
      <c r="AC7" s="348"/>
      <c r="AD7" s="349" t="str">
        <f>CRONOGRAMA!E15</f>
        <v>Riesgo Publico &amp; Derechos Humanos</v>
      </c>
      <c r="AE7" s="346"/>
      <c r="AF7" s="346"/>
      <c r="AG7" s="347"/>
      <c r="AH7" s="399" t="s">
        <v>384</v>
      </c>
      <c r="AI7" s="400"/>
      <c r="AJ7" s="400"/>
      <c r="AK7" s="401"/>
      <c r="AL7" s="345" t="str">
        <f>CRONOGRAMA!E17</f>
        <v>Excelencia_HSE</v>
      </c>
      <c r="AM7" s="346"/>
      <c r="AN7" s="346"/>
      <c r="AO7" s="348"/>
      <c r="AP7" s="345" t="str">
        <f>CRONOGRAMA!E18</f>
        <v>Salud Publica</v>
      </c>
      <c r="AQ7" s="346"/>
      <c r="AR7" s="346"/>
      <c r="AS7" s="348"/>
      <c r="AT7" s="345" t="str">
        <f>CRONOGRAMA!E19</f>
        <v>Conservación y Cuidado del Medio Ambiente</v>
      </c>
      <c r="AU7" s="346"/>
      <c r="AV7" s="346"/>
      <c r="AW7" s="348"/>
      <c r="AX7" s="345" t="str">
        <f>CRONOGRAMA!E20</f>
        <v xml:space="preserve">Well control </v>
      </c>
      <c r="AY7" s="346"/>
      <c r="AZ7" s="346"/>
      <c r="BA7" s="348"/>
      <c r="BB7" s="349" t="str">
        <f>CRONOGRAMA!E21</f>
        <v>Stuck Pipe/ Pega de Tuberías</v>
      </c>
      <c r="BC7" s="346"/>
      <c r="BD7" s="346"/>
      <c r="BE7" s="347"/>
      <c r="BF7" s="345" t="str">
        <f>CRONOGRAMA!E22</f>
        <v>Rig Pass</v>
      </c>
      <c r="BG7" s="346"/>
      <c r="BH7" s="346"/>
      <c r="BI7" s="347"/>
      <c r="BJ7" s="345" t="str">
        <f>CRONOGRAMA!E23</f>
        <v>Trabajo seguro en alturas:
Jefes de área para trabajos en alturas.</v>
      </c>
      <c r="BK7" s="346"/>
      <c r="BL7" s="346"/>
      <c r="BM7" s="348"/>
      <c r="BN7" s="349" t="str">
        <f>CRONOGRAMA!E24</f>
        <v>HSEQ FRONTERA</v>
      </c>
      <c r="BO7" s="346"/>
      <c r="BP7" s="346"/>
      <c r="BQ7" s="348"/>
      <c r="BR7" s="345" t="str">
        <f>CRONOGRAMA!E25</f>
        <v>Control del Trabajo Frontera</v>
      </c>
      <c r="BS7" s="346"/>
      <c r="BT7" s="346"/>
      <c r="BU7" s="348"/>
    </row>
    <row r="8" spans="1:81" ht="42" customHeight="1" thickBot="1">
      <c r="A8" s="359" t="s">
        <v>88</v>
      </c>
      <c r="B8" s="359" t="s">
        <v>89</v>
      </c>
      <c r="C8" s="359" t="s">
        <v>90</v>
      </c>
      <c r="D8" s="359" t="s">
        <v>197</v>
      </c>
      <c r="E8" s="359" t="s">
        <v>357</v>
      </c>
      <c r="F8" s="359" t="s">
        <v>91</v>
      </c>
      <c r="G8" s="273" t="s">
        <v>395</v>
      </c>
      <c r="H8" s="359" t="s">
        <v>256</v>
      </c>
      <c r="I8" s="361" t="s">
        <v>92</v>
      </c>
      <c r="J8" s="356" t="s">
        <v>86</v>
      </c>
      <c r="K8" s="357"/>
      <c r="L8" s="143" t="s">
        <v>84</v>
      </c>
      <c r="M8" s="145" t="s">
        <v>168</v>
      </c>
      <c r="N8" s="358" t="s">
        <v>86</v>
      </c>
      <c r="O8" s="357"/>
      <c r="P8" s="143" t="s">
        <v>84</v>
      </c>
      <c r="Q8" s="144" t="s">
        <v>168</v>
      </c>
      <c r="R8" s="356" t="s">
        <v>86</v>
      </c>
      <c r="S8" s="357"/>
      <c r="T8" s="143" t="s">
        <v>84</v>
      </c>
      <c r="U8" s="145" t="s">
        <v>168</v>
      </c>
      <c r="V8" s="358" t="s">
        <v>86</v>
      </c>
      <c r="W8" s="357"/>
      <c r="X8" s="143" t="s">
        <v>87</v>
      </c>
      <c r="Y8" s="144" t="s">
        <v>168</v>
      </c>
      <c r="Z8" s="356" t="s">
        <v>86</v>
      </c>
      <c r="AA8" s="357"/>
      <c r="AB8" s="143" t="s">
        <v>84</v>
      </c>
      <c r="AC8" s="145" t="s">
        <v>168</v>
      </c>
      <c r="AD8" s="358" t="s">
        <v>86</v>
      </c>
      <c r="AE8" s="357"/>
      <c r="AF8" s="143" t="s">
        <v>84</v>
      </c>
      <c r="AG8" s="144" t="s">
        <v>168</v>
      </c>
      <c r="AH8" s="356" t="s">
        <v>86</v>
      </c>
      <c r="AI8" s="357"/>
      <c r="AJ8" s="143" t="s">
        <v>84</v>
      </c>
      <c r="AK8" s="145" t="s">
        <v>168</v>
      </c>
      <c r="AL8" s="356" t="s">
        <v>86</v>
      </c>
      <c r="AM8" s="357"/>
      <c r="AN8" s="143" t="s">
        <v>84</v>
      </c>
      <c r="AO8" s="145" t="s">
        <v>168</v>
      </c>
      <c r="AP8" s="356" t="s">
        <v>86</v>
      </c>
      <c r="AQ8" s="357"/>
      <c r="AR8" s="143" t="s">
        <v>84</v>
      </c>
      <c r="AS8" s="145" t="s">
        <v>168</v>
      </c>
      <c r="AT8" s="356" t="s">
        <v>86</v>
      </c>
      <c r="AU8" s="357"/>
      <c r="AV8" s="143" t="s">
        <v>84</v>
      </c>
      <c r="AW8" s="145" t="s">
        <v>168</v>
      </c>
      <c r="AX8" s="356" t="s">
        <v>86</v>
      </c>
      <c r="AY8" s="357"/>
      <c r="AZ8" s="143" t="s">
        <v>84</v>
      </c>
      <c r="BA8" s="145" t="s">
        <v>168</v>
      </c>
      <c r="BB8" s="358" t="s">
        <v>86</v>
      </c>
      <c r="BC8" s="357"/>
      <c r="BD8" s="143" t="s">
        <v>84</v>
      </c>
      <c r="BE8" s="144" t="s">
        <v>168</v>
      </c>
      <c r="BF8" s="356" t="s">
        <v>86</v>
      </c>
      <c r="BG8" s="357"/>
      <c r="BH8" s="143" t="s">
        <v>84</v>
      </c>
      <c r="BI8" s="144" t="s">
        <v>168</v>
      </c>
      <c r="BJ8" s="356" t="s">
        <v>86</v>
      </c>
      <c r="BK8" s="357"/>
      <c r="BL8" s="143" t="s">
        <v>84</v>
      </c>
      <c r="BM8" s="145" t="s">
        <v>168</v>
      </c>
      <c r="BN8" s="358" t="s">
        <v>86</v>
      </c>
      <c r="BO8" s="357"/>
      <c r="BP8" s="143" t="s">
        <v>84</v>
      </c>
      <c r="BQ8" s="145" t="s">
        <v>168</v>
      </c>
      <c r="BR8" s="356" t="s">
        <v>86</v>
      </c>
      <c r="BS8" s="357"/>
      <c r="BT8" s="143" t="s">
        <v>84</v>
      </c>
      <c r="BU8" s="145" t="s">
        <v>168</v>
      </c>
    </row>
    <row r="9" spans="1:81" s="16" customFormat="1" ht="93" hidden="1" customHeight="1" thickBot="1">
      <c r="A9" s="359"/>
      <c r="B9" s="359"/>
      <c r="C9" s="360"/>
      <c r="D9" s="359"/>
      <c r="E9" s="360"/>
      <c r="F9" s="359"/>
      <c r="G9" s="273"/>
      <c r="H9" s="359"/>
      <c r="I9" s="362"/>
      <c r="J9" s="248" t="s">
        <v>92</v>
      </c>
      <c r="K9" s="147" t="s">
        <v>93</v>
      </c>
      <c r="L9" s="147" t="s">
        <v>94</v>
      </c>
      <c r="M9" s="150" t="s">
        <v>167</v>
      </c>
      <c r="N9" s="146" t="s">
        <v>92</v>
      </c>
      <c r="O9" s="147" t="s">
        <v>93</v>
      </c>
      <c r="P9" s="147" t="s">
        <v>94</v>
      </c>
      <c r="Q9" s="148" t="s">
        <v>167</v>
      </c>
      <c r="R9" s="149" t="s">
        <v>92</v>
      </c>
      <c r="S9" s="147" t="s">
        <v>93</v>
      </c>
      <c r="T9" s="147" t="s">
        <v>94</v>
      </c>
      <c r="U9" s="150" t="s">
        <v>167</v>
      </c>
      <c r="V9" s="146" t="s">
        <v>92</v>
      </c>
      <c r="W9" s="147" t="s">
        <v>93</v>
      </c>
      <c r="X9" s="147" t="s">
        <v>94</v>
      </c>
      <c r="Y9" s="148" t="s">
        <v>167</v>
      </c>
      <c r="Z9" s="149" t="s">
        <v>92</v>
      </c>
      <c r="AA9" s="147" t="s">
        <v>93</v>
      </c>
      <c r="AB9" s="147" t="s">
        <v>94</v>
      </c>
      <c r="AC9" s="150" t="s">
        <v>167</v>
      </c>
      <c r="AD9" s="146" t="s">
        <v>92</v>
      </c>
      <c r="AE9" s="147" t="s">
        <v>93</v>
      </c>
      <c r="AF9" s="147" t="s">
        <v>94</v>
      </c>
      <c r="AG9" s="148" t="s">
        <v>167</v>
      </c>
      <c r="AH9" s="149" t="s">
        <v>92</v>
      </c>
      <c r="AI9" s="147" t="s">
        <v>93</v>
      </c>
      <c r="AJ9" s="147" t="s">
        <v>94</v>
      </c>
      <c r="AK9" s="150" t="s">
        <v>167</v>
      </c>
      <c r="AL9" s="149" t="s">
        <v>92</v>
      </c>
      <c r="AM9" s="147" t="s">
        <v>93</v>
      </c>
      <c r="AN9" s="147" t="s">
        <v>94</v>
      </c>
      <c r="AO9" s="150" t="s">
        <v>167</v>
      </c>
      <c r="AP9" s="149" t="s">
        <v>92</v>
      </c>
      <c r="AQ9" s="147" t="s">
        <v>93</v>
      </c>
      <c r="AR9" s="147" t="s">
        <v>94</v>
      </c>
      <c r="AS9" s="150" t="s">
        <v>167</v>
      </c>
      <c r="AT9" s="149" t="s">
        <v>92</v>
      </c>
      <c r="AU9" s="147" t="s">
        <v>93</v>
      </c>
      <c r="AV9" s="147" t="s">
        <v>94</v>
      </c>
      <c r="AW9" s="150" t="s">
        <v>167</v>
      </c>
      <c r="AX9" s="149" t="s">
        <v>92</v>
      </c>
      <c r="AY9" s="147" t="s">
        <v>93</v>
      </c>
      <c r="AZ9" s="147" t="s">
        <v>94</v>
      </c>
      <c r="BA9" s="150" t="s">
        <v>167</v>
      </c>
      <c r="BB9" s="146" t="s">
        <v>92</v>
      </c>
      <c r="BC9" s="147" t="s">
        <v>93</v>
      </c>
      <c r="BD9" s="147" t="s">
        <v>94</v>
      </c>
      <c r="BE9" s="148" t="s">
        <v>167</v>
      </c>
      <c r="BF9" s="149" t="s">
        <v>92</v>
      </c>
      <c r="BG9" s="147" t="s">
        <v>93</v>
      </c>
      <c r="BH9" s="147" t="s">
        <v>94</v>
      </c>
      <c r="BI9" s="148" t="s">
        <v>167</v>
      </c>
      <c r="BJ9" s="149" t="s">
        <v>92</v>
      </c>
      <c r="BK9" s="147" t="s">
        <v>93</v>
      </c>
      <c r="BL9" s="147" t="s">
        <v>94</v>
      </c>
      <c r="BM9" s="150" t="s">
        <v>167</v>
      </c>
      <c r="BN9" s="146" t="s">
        <v>92</v>
      </c>
      <c r="BO9" s="147" t="s">
        <v>93</v>
      </c>
      <c r="BP9" s="147" t="s">
        <v>94</v>
      </c>
      <c r="BQ9" s="150" t="s">
        <v>167</v>
      </c>
      <c r="BR9" s="149" t="s">
        <v>92</v>
      </c>
      <c r="BS9" s="147" t="s">
        <v>93</v>
      </c>
      <c r="BT9" s="147" t="s">
        <v>94</v>
      </c>
      <c r="BU9" s="150" t="s">
        <v>167</v>
      </c>
      <c r="CB9" s="180"/>
      <c r="CC9" s="180"/>
    </row>
    <row r="10" spans="1:81" s="291" customFormat="1" ht="22.9" customHeight="1">
      <c r="A10" s="268">
        <v>1</v>
      </c>
      <c r="B10" s="142" t="s">
        <v>211</v>
      </c>
      <c r="C10" s="177" t="s">
        <v>258</v>
      </c>
      <c r="D10" s="191">
        <v>80095582</v>
      </c>
      <c r="E10" s="276" t="s">
        <v>291</v>
      </c>
      <c r="F10" s="194" t="s">
        <v>254</v>
      </c>
      <c r="G10" s="194"/>
      <c r="H10" s="183">
        <v>46260</v>
      </c>
      <c r="I10" s="282" t="s">
        <v>185</v>
      </c>
      <c r="J10" s="161" t="s">
        <v>22</v>
      </c>
      <c r="K10" s="159" t="s">
        <v>329</v>
      </c>
      <c r="L10" s="160" t="s">
        <v>84</v>
      </c>
      <c r="M10" s="209" t="s">
        <v>70</v>
      </c>
      <c r="N10" s="172" t="s">
        <v>30</v>
      </c>
      <c r="O10" s="166" t="s">
        <v>30</v>
      </c>
      <c r="P10" s="166" t="s">
        <v>30</v>
      </c>
      <c r="Q10" s="282" t="s">
        <v>30</v>
      </c>
      <c r="R10" s="161" t="s">
        <v>22</v>
      </c>
      <c r="S10" s="160" t="s">
        <v>329</v>
      </c>
      <c r="T10" s="160" t="s">
        <v>84</v>
      </c>
      <c r="U10" s="209" t="s">
        <v>70</v>
      </c>
      <c r="V10" s="172" t="s">
        <v>30</v>
      </c>
      <c r="W10" s="166" t="s">
        <v>30</v>
      </c>
      <c r="X10" s="166" t="s">
        <v>30</v>
      </c>
      <c r="Y10" s="282" t="s">
        <v>30</v>
      </c>
      <c r="Z10" s="161" t="s">
        <v>22</v>
      </c>
      <c r="AA10" s="160">
        <v>5</v>
      </c>
      <c r="AB10" s="160" t="s">
        <v>84</v>
      </c>
      <c r="AC10" s="155" t="s">
        <v>70</v>
      </c>
      <c r="AD10" s="159" t="s">
        <v>22</v>
      </c>
      <c r="AE10" s="160">
        <v>5</v>
      </c>
      <c r="AF10" s="160" t="s">
        <v>84</v>
      </c>
      <c r="AG10" s="169" t="s">
        <v>316</v>
      </c>
      <c r="AH10" s="161" t="s">
        <v>22</v>
      </c>
      <c r="AI10" s="160">
        <v>5</v>
      </c>
      <c r="AJ10" s="160" t="s">
        <v>84</v>
      </c>
      <c r="AK10" s="289" t="s">
        <v>74</v>
      </c>
      <c r="AL10" s="266"/>
      <c r="AM10" s="164"/>
      <c r="AN10" s="165"/>
      <c r="AO10" s="155"/>
      <c r="AP10" s="161"/>
      <c r="AQ10" s="166"/>
      <c r="AR10" s="160"/>
      <c r="AS10" s="170"/>
      <c r="AT10" s="246"/>
      <c r="AU10" s="174"/>
      <c r="AV10" s="160"/>
      <c r="AW10" s="170"/>
      <c r="AX10" s="268" t="s">
        <v>30</v>
      </c>
      <c r="AY10" s="173" t="s">
        <v>30</v>
      </c>
      <c r="AZ10" s="173" t="s">
        <v>30</v>
      </c>
      <c r="BA10" s="203">
        <v>46446</v>
      </c>
      <c r="BB10" s="172" t="s">
        <v>30</v>
      </c>
      <c r="BC10" s="166" t="s">
        <v>30</v>
      </c>
      <c r="BD10" s="166" t="s">
        <v>30</v>
      </c>
      <c r="BE10" s="171">
        <v>46632</v>
      </c>
      <c r="BF10" s="161" t="s">
        <v>22</v>
      </c>
      <c r="BG10" s="160">
        <v>5</v>
      </c>
      <c r="BH10" s="160" t="s">
        <v>84</v>
      </c>
      <c r="BI10" s="171">
        <v>47909</v>
      </c>
      <c r="BJ10" s="161" t="s">
        <v>22</v>
      </c>
      <c r="BK10" s="160">
        <v>5</v>
      </c>
      <c r="BL10" s="160" t="s">
        <v>84</v>
      </c>
      <c r="BM10" s="170" t="s">
        <v>70</v>
      </c>
      <c r="BN10" s="159" t="s">
        <v>22</v>
      </c>
      <c r="BO10" s="160">
        <v>5</v>
      </c>
      <c r="BP10" s="160" t="s">
        <v>84</v>
      </c>
      <c r="BQ10" s="278">
        <v>46413</v>
      </c>
      <c r="BR10" s="161" t="s">
        <v>22</v>
      </c>
      <c r="BS10" s="166">
        <v>5</v>
      </c>
      <c r="BT10" s="172" t="s">
        <v>84</v>
      </c>
      <c r="BU10" s="170" t="s">
        <v>75</v>
      </c>
      <c r="BV10" s="290"/>
      <c r="CB10" s="292" t="s">
        <v>69</v>
      </c>
      <c r="CC10" s="292"/>
    </row>
    <row r="11" spans="1:81" s="15" customFormat="1" ht="22.9" hidden="1" customHeight="1">
      <c r="A11" s="53">
        <v>2</v>
      </c>
      <c r="B11" s="142" t="s">
        <v>211</v>
      </c>
      <c r="C11" s="177" t="s">
        <v>331</v>
      </c>
      <c r="D11" s="191">
        <v>1017129665</v>
      </c>
      <c r="E11" t="s">
        <v>305</v>
      </c>
      <c r="F11" s="194" t="s">
        <v>273</v>
      </c>
      <c r="G11" s="194"/>
      <c r="H11" s="183">
        <v>46212</v>
      </c>
      <c r="I11" s="184" t="s">
        <v>353</v>
      </c>
      <c r="J11" s="157" t="s">
        <v>30</v>
      </c>
      <c r="K11" s="152" t="s">
        <v>30</v>
      </c>
      <c r="L11" s="151" t="s">
        <v>30</v>
      </c>
      <c r="M11" s="155" t="s">
        <v>75</v>
      </c>
      <c r="N11" s="152" t="s">
        <v>30</v>
      </c>
      <c r="O11" s="151" t="s">
        <v>30</v>
      </c>
      <c r="P11" s="151" t="s">
        <v>30</v>
      </c>
      <c r="Q11" s="188" t="s">
        <v>30</v>
      </c>
      <c r="R11" s="157" t="s">
        <v>30</v>
      </c>
      <c r="S11" s="151" t="s">
        <v>30</v>
      </c>
      <c r="T11" s="151" t="s">
        <v>30</v>
      </c>
      <c r="U11" s="155" t="s">
        <v>75</v>
      </c>
      <c r="V11" s="152" t="s">
        <v>30</v>
      </c>
      <c r="W11" s="151" t="s">
        <v>30</v>
      </c>
      <c r="X11" s="151" t="s">
        <v>30</v>
      </c>
      <c r="Y11" s="188" t="s">
        <v>30</v>
      </c>
      <c r="Z11" s="161" t="s">
        <v>22</v>
      </c>
      <c r="AA11" s="160">
        <v>5</v>
      </c>
      <c r="AB11" s="160" t="s">
        <v>84</v>
      </c>
      <c r="AC11" s="155" t="s">
        <v>70</v>
      </c>
      <c r="AD11" s="159" t="s">
        <v>22</v>
      </c>
      <c r="AE11" s="160">
        <v>5</v>
      </c>
      <c r="AF11" s="160" t="s">
        <v>84</v>
      </c>
      <c r="AG11" s="169" t="s">
        <v>316</v>
      </c>
      <c r="AH11" s="157" t="s">
        <v>30</v>
      </c>
      <c r="AI11" s="151" t="s">
        <v>30</v>
      </c>
      <c r="AJ11" s="151" t="s">
        <v>30</v>
      </c>
      <c r="AK11" s="158" t="s">
        <v>30</v>
      </c>
      <c r="AL11" s="60"/>
      <c r="AM11" s="76"/>
      <c r="AN11" s="76"/>
      <c r="AO11" s="155"/>
      <c r="AP11" s="60"/>
      <c r="AQ11" s="59"/>
      <c r="AR11" s="59"/>
      <c r="AS11" s="170"/>
      <c r="AT11" s="60"/>
      <c r="AU11" s="59"/>
      <c r="AV11" s="59"/>
      <c r="AW11" s="170"/>
      <c r="AX11" s="157" t="s">
        <v>30</v>
      </c>
      <c r="AY11" s="151" t="s">
        <v>30</v>
      </c>
      <c r="AZ11" s="151" t="s">
        <v>30</v>
      </c>
      <c r="BA11" s="154">
        <v>46487</v>
      </c>
      <c r="BB11" s="152" t="s">
        <v>30</v>
      </c>
      <c r="BC11" s="151" t="s">
        <v>30</v>
      </c>
      <c r="BD11" s="151" t="s">
        <v>30</v>
      </c>
      <c r="BE11" s="204">
        <v>46488</v>
      </c>
      <c r="BF11" s="157" t="s">
        <v>30</v>
      </c>
      <c r="BG11" s="151" t="s">
        <v>30</v>
      </c>
      <c r="BH11" s="151" t="s">
        <v>30</v>
      </c>
      <c r="BI11" s="169" t="s">
        <v>316</v>
      </c>
      <c r="BJ11" s="157" t="s">
        <v>30</v>
      </c>
      <c r="BK11" s="151" t="s">
        <v>30</v>
      </c>
      <c r="BL11" s="151" t="s">
        <v>30</v>
      </c>
      <c r="BM11" s="151" t="s">
        <v>30</v>
      </c>
      <c r="BN11" s="159" t="s">
        <v>22</v>
      </c>
      <c r="BO11" s="160" t="s">
        <v>329</v>
      </c>
      <c r="BP11" s="160" t="s">
        <v>84</v>
      </c>
      <c r="BQ11" s="178">
        <v>46436</v>
      </c>
      <c r="BR11" s="157" t="s">
        <v>30</v>
      </c>
      <c r="BS11" s="151" t="s">
        <v>30</v>
      </c>
      <c r="BT11" s="151" t="s">
        <v>30</v>
      </c>
      <c r="BU11" s="178">
        <v>46638</v>
      </c>
      <c r="BV11" s="99"/>
      <c r="CB11" s="181" t="s">
        <v>70</v>
      </c>
      <c r="CC11" s="181"/>
    </row>
    <row r="12" spans="1:81" s="15" customFormat="1" ht="22.9" hidden="1" customHeight="1">
      <c r="A12" s="53">
        <v>3</v>
      </c>
      <c r="B12" s="142" t="s">
        <v>211</v>
      </c>
      <c r="C12" s="177" t="s">
        <v>276</v>
      </c>
      <c r="D12" s="191">
        <v>1079181735</v>
      </c>
      <c r="E12" t="s">
        <v>311</v>
      </c>
      <c r="F12" s="194" t="s">
        <v>253</v>
      </c>
      <c r="G12" s="194"/>
      <c r="H12" s="183">
        <v>46418</v>
      </c>
      <c r="I12" s="184" t="s">
        <v>353</v>
      </c>
      <c r="J12" s="161" t="s">
        <v>22</v>
      </c>
      <c r="K12" s="159">
        <v>5</v>
      </c>
      <c r="L12" s="160" t="s">
        <v>84</v>
      </c>
      <c r="M12" s="155" t="s">
        <v>70</v>
      </c>
      <c r="N12" s="159" t="s">
        <v>22</v>
      </c>
      <c r="O12" s="162">
        <v>5</v>
      </c>
      <c r="P12" s="167" t="s">
        <v>84</v>
      </c>
      <c r="Q12" s="249" t="s">
        <v>70</v>
      </c>
      <c r="R12" s="161" t="s">
        <v>22</v>
      </c>
      <c r="S12" s="160">
        <v>4</v>
      </c>
      <c r="T12" s="160" t="s">
        <v>84</v>
      </c>
      <c r="U12" s="155" t="s">
        <v>70</v>
      </c>
      <c r="V12" s="159" t="s">
        <v>22</v>
      </c>
      <c r="W12" s="160">
        <v>5</v>
      </c>
      <c r="X12" s="160" t="s">
        <v>84</v>
      </c>
      <c r="Y12" s="202" t="s">
        <v>72</v>
      </c>
      <c r="Z12" s="161" t="s">
        <v>22</v>
      </c>
      <c r="AA12" s="160">
        <v>5</v>
      </c>
      <c r="AB12" s="160" t="s">
        <v>84</v>
      </c>
      <c r="AC12" s="155" t="s">
        <v>70</v>
      </c>
      <c r="AD12" s="159" t="s">
        <v>22</v>
      </c>
      <c r="AE12" s="160">
        <v>5</v>
      </c>
      <c r="AF12" s="160" t="s">
        <v>84</v>
      </c>
      <c r="AG12" s="169" t="s">
        <v>71</v>
      </c>
      <c r="AH12" s="157" t="s">
        <v>30</v>
      </c>
      <c r="AI12" s="151" t="s">
        <v>30</v>
      </c>
      <c r="AJ12" s="151" t="s">
        <v>30</v>
      </c>
      <c r="AK12" s="158" t="s">
        <v>30</v>
      </c>
      <c r="AL12" s="60"/>
      <c r="AM12" s="76"/>
      <c r="AN12" s="76"/>
      <c r="AO12" s="155"/>
      <c r="AP12" s="60"/>
      <c r="AQ12" s="59"/>
      <c r="AR12" s="59"/>
      <c r="AS12" s="170"/>
      <c r="AT12" s="60"/>
      <c r="AU12" s="59"/>
      <c r="AV12" s="59"/>
      <c r="AW12" s="170"/>
      <c r="AX12" s="157" t="s">
        <v>30</v>
      </c>
      <c r="AY12" s="151" t="s">
        <v>30</v>
      </c>
      <c r="AZ12" s="151" t="s">
        <v>30</v>
      </c>
      <c r="BA12" s="158" t="s">
        <v>30</v>
      </c>
      <c r="BB12" s="152" t="s">
        <v>30</v>
      </c>
      <c r="BC12" s="151" t="s">
        <v>30</v>
      </c>
      <c r="BD12" s="151" t="s">
        <v>30</v>
      </c>
      <c r="BE12" s="188" t="s">
        <v>30</v>
      </c>
      <c r="BF12" s="157" t="s">
        <v>30</v>
      </c>
      <c r="BG12" s="151" t="s">
        <v>30</v>
      </c>
      <c r="BH12" s="151" t="s">
        <v>30</v>
      </c>
      <c r="BI12" s="188" t="s">
        <v>30</v>
      </c>
      <c r="BJ12" s="156" t="s">
        <v>22</v>
      </c>
      <c r="BK12" s="153">
        <v>5</v>
      </c>
      <c r="BL12" s="151" t="s">
        <v>84</v>
      </c>
      <c r="BM12" s="175" t="s">
        <v>72</v>
      </c>
      <c r="BN12" s="159" t="s">
        <v>22</v>
      </c>
      <c r="BO12" s="160" t="s">
        <v>329</v>
      </c>
      <c r="BP12" s="160" t="s">
        <v>84</v>
      </c>
      <c r="BQ12" s="179">
        <v>46420</v>
      </c>
      <c r="BR12" s="161" t="s">
        <v>22</v>
      </c>
      <c r="BS12" s="160" t="s">
        <v>329</v>
      </c>
      <c r="BT12" s="160" t="s">
        <v>84</v>
      </c>
      <c r="BU12" s="178">
        <v>46785</v>
      </c>
      <c r="BV12" s="99"/>
      <c r="CB12" s="181" t="s">
        <v>316</v>
      </c>
      <c r="CC12" s="181"/>
    </row>
    <row r="13" spans="1:81" s="15" customFormat="1" ht="22.9" hidden="1" customHeight="1">
      <c r="A13" s="53">
        <v>4</v>
      </c>
      <c r="B13" s="77" t="s">
        <v>211</v>
      </c>
      <c r="C13" s="177" t="s">
        <v>265</v>
      </c>
      <c r="D13" s="191">
        <v>1121924878</v>
      </c>
      <c r="E13" t="s">
        <v>294</v>
      </c>
      <c r="F13" s="194" t="s">
        <v>253</v>
      </c>
      <c r="G13" s="194"/>
      <c r="H13" s="183">
        <v>46414</v>
      </c>
      <c r="I13" s="184" t="s">
        <v>353</v>
      </c>
      <c r="J13" s="161" t="s">
        <v>22</v>
      </c>
      <c r="K13" s="172">
        <v>5</v>
      </c>
      <c r="L13" s="160" t="s">
        <v>84</v>
      </c>
      <c r="M13" s="155" t="s">
        <v>70</v>
      </c>
      <c r="N13" s="159" t="s">
        <v>22</v>
      </c>
      <c r="O13" s="162">
        <v>5</v>
      </c>
      <c r="P13" s="167" t="s">
        <v>84</v>
      </c>
      <c r="Q13" s="249" t="s">
        <v>69</v>
      </c>
      <c r="R13" s="161" t="s">
        <v>22</v>
      </c>
      <c r="S13" s="166">
        <v>5</v>
      </c>
      <c r="T13" s="166" t="s">
        <v>84</v>
      </c>
      <c r="U13" s="155" t="s">
        <v>70</v>
      </c>
      <c r="V13" s="159" t="s">
        <v>22</v>
      </c>
      <c r="W13" s="160">
        <v>5</v>
      </c>
      <c r="X13" s="160" t="s">
        <v>84</v>
      </c>
      <c r="Y13" s="202" t="s">
        <v>72</v>
      </c>
      <c r="Z13" s="161" t="s">
        <v>22</v>
      </c>
      <c r="AA13" s="160">
        <v>5</v>
      </c>
      <c r="AB13" s="160" t="s">
        <v>84</v>
      </c>
      <c r="AC13" s="155" t="s">
        <v>70</v>
      </c>
      <c r="AD13" s="159" t="s">
        <v>22</v>
      </c>
      <c r="AE13" s="160">
        <v>5</v>
      </c>
      <c r="AF13" s="160" t="s">
        <v>84</v>
      </c>
      <c r="AG13" s="169" t="s">
        <v>71</v>
      </c>
      <c r="AH13" s="157" t="s">
        <v>30</v>
      </c>
      <c r="AI13" s="151" t="s">
        <v>30</v>
      </c>
      <c r="AJ13" s="151" t="s">
        <v>30</v>
      </c>
      <c r="AK13" s="158" t="s">
        <v>30</v>
      </c>
      <c r="AL13" s="53"/>
      <c r="AM13" s="76"/>
      <c r="AN13" s="97"/>
      <c r="AO13" s="155"/>
      <c r="AP13" s="212"/>
      <c r="AQ13" s="166"/>
      <c r="AR13" s="96"/>
      <c r="AS13" s="170"/>
      <c r="AT13" s="212"/>
      <c r="AU13" s="92"/>
      <c r="AV13" s="96"/>
      <c r="AW13" s="170"/>
      <c r="AX13" s="157" t="s">
        <v>30</v>
      </c>
      <c r="AY13" s="151" t="s">
        <v>30</v>
      </c>
      <c r="AZ13" s="151" t="s">
        <v>30</v>
      </c>
      <c r="BA13" s="158" t="s">
        <v>30</v>
      </c>
      <c r="BB13" s="152" t="s">
        <v>30</v>
      </c>
      <c r="BC13" s="151" t="s">
        <v>30</v>
      </c>
      <c r="BD13" s="151" t="s">
        <v>30</v>
      </c>
      <c r="BE13" s="188" t="s">
        <v>30</v>
      </c>
      <c r="BF13" s="157" t="s">
        <v>30</v>
      </c>
      <c r="BG13" s="151" t="s">
        <v>30</v>
      </c>
      <c r="BH13" s="151" t="s">
        <v>30</v>
      </c>
      <c r="BI13" s="188" t="s">
        <v>30</v>
      </c>
      <c r="BJ13" s="161" t="s">
        <v>22</v>
      </c>
      <c r="BK13" s="160">
        <v>5</v>
      </c>
      <c r="BL13" s="160" t="s">
        <v>84</v>
      </c>
      <c r="BM13" s="170" t="s">
        <v>70</v>
      </c>
      <c r="BN13" s="159" t="s">
        <v>22</v>
      </c>
      <c r="BO13" s="160" t="s">
        <v>329</v>
      </c>
      <c r="BP13" s="160" t="s">
        <v>84</v>
      </c>
      <c r="BQ13" s="179">
        <v>46414</v>
      </c>
      <c r="BR13" s="161" t="s">
        <v>22</v>
      </c>
      <c r="BS13" s="160">
        <v>5</v>
      </c>
      <c r="BT13" s="160" t="s">
        <v>84</v>
      </c>
      <c r="BU13" s="178">
        <v>46779</v>
      </c>
      <c r="BV13" s="99"/>
      <c r="CB13" s="181" t="s">
        <v>72</v>
      </c>
      <c r="CC13" s="181"/>
    </row>
    <row r="14" spans="1:81" s="15" customFormat="1" ht="22.9" hidden="1" customHeight="1">
      <c r="A14" s="53">
        <v>5</v>
      </c>
      <c r="B14" s="77" t="s">
        <v>211</v>
      </c>
      <c r="C14" s="177" t="s">
        <v>277</v>
      </c>
      <c r="D14" s="191">
        <v>1075295138</v>
      </c>
      <c r="E14" s="276" t="s">
        <v>308</v>
      </c>
      <c r="F14" s="194" t="s">
        <v>369</v>
      </c>
      <c r="G14" s="198"/>
      <c r="H14" s="183">
        <v>46422</v>
      </c>
      <c r="I14" s="184" t="s">
        <v>353</v>
      </c>
      <c r="J14" s="161" t="s">
        <v>22</v>
      </c>
      <c r="K14" s="159">
        <v>5</v>
      </c>
      <c r="L14" s="160" t="s">
        <v>84</v>
      </c>
      <c r="M14" s="155" t="s">
        <v>70</v>
      </c>
      <c r="N14" s="159" t="s">
        <v>22</v>
      </c>
      <c r="O14" s="162">
        <v>5</v>
      </c>
      <c r="P14" s="167" t="s">
        <v>84</v>
      </c>
      <c r="Q14" s="249" t="s">
        <v>70</v>
      </c>
      <c r="R14" s="161" t="s">
        <v>22</v>
      </c>
      <c r="S14" s="160">
        <v>5</v>
      </c>
      <c r="T14" s="160" t="s">
        <v>84</v>
      </c>
      <c r="U14" s="155" t="s">
        <v>70</v>
      </c>
      <c r="V14" s="159" t="s">
        <v>22</v>
      </c>
      <c r="W14" s="160">
        <v>5</v>
      </c>
      <c r="X14" s="160" t="s">
        <v>84</v>
      </c>
      <c r="Y14" s="202" t="s">
        <v>72</v>
      </c>
      <c r="Z14" s="161" t="s">
        <v>22</v>
      </c>
      <c r="AA14" s="160">
        <v>5</v>
      </c>
      <c r="AB14" s="160" t="s">
        <v>84</v>
      </c>
      <c r="AC14" s="155" t="s">
        <v>70</v>
      </c>
      <c r="AD14" s="159" t="s">
        <v>22</v>
      </c>
      <c r="AE14" s="160">
        <v>5</v>
      </c>
      <c r="AF14" s="160" t="s">
        <v>84</v>
      </c>
      <c r="AG14" s="169" t="s">
        <v>71</v>
      </c>
      <c r="AH14" s="157" t="s">
        <v>30</v>
      </c>
      <c r="AI14" s="151" t="s">
        <v>30</v>
      </c>
      <c r="AJ14" s="151" t="s">
        <v>30</v>
      </c>
      <c r="AK14" s="158" t="s">
        <v>30</v>
      </c>
      <c r="AL14" s="267"/>
      <c r="AM14" s="76"/>
      <c r="AN14" s="76"/>
      <c r="AO14" s="155"/>
      <c r="AP14" s="60"/>
      <c r="AQ14" s="59"/>
      <c r="AR14" s="59"/>
      <c r="AS14" s="170"/>
      <c r="AT14" s="102"/>
      <c r="AU14" s="59"/>
      <c r="AV14" s="59"/>
      <c r="AW14" s="170"/>
      <c r="AX14" s="157" t="s">
        <v>30</v>
      </c>
      <c r="AY14" s="151" t="s">
        <v>30</v>
      </c>
      <c r="AZ14" s="151" t="s">
        <v>30</v>
      </c>
      <c r="BA14" s="158" t="s">
        <v>30</v>
      </c>
      <c r="BB14" s="152" t="s">
        <v>30</v>
      </c>
      <c r="BC14" s="151" t="s">
        <v>30</v>
      </c>
      <c r="BD14" s="151" t="s">
        <v>30</v>
      </c>
      <c r="BE14" s="188" t="s">
        <v>30</v>
      </c>
      <c r="BF14" s="157" t="s">
        <v>30</v>
      </c>
      <c r="BG14" s="151" t="s">
        <v>30</v>
      </c>
      <c r="BH14" s="151" t="s">
        <v>30</v>
      </c>
      <c r="BI14" s="188" t="s">
        <v>30</v>
      </c>
      <c r="BJ14" s="102" t="s">
        <v>22</v>
      </c>
      <c r="BK14" s="153">
        <v>5</v>
      </c>
      <c r="BL14" s="160" t="s">
        <v>84</v>
      </c>
      <c r="BM14" s="175" t="s">
        <v>72</v>
      </c>
      <c r="BN14" s="159" t="s">
        <v>22</v>
      </c>
      <c r="BO14" s="160">
        <v>5</v>
      </c>
      <c r="BP14" s="160" t="s">
        <v>84</v>
      </c>
      <c r="BQ14" s="179">
        <v>46422</v>
      </c>
      <c r="BR14" s="161" t="s">
        <v>22</v>
      </c>
      <c r="BS14" s="160">
        <v>5</v>
      </c>
      <c r="BT14" s="160" t="s">
        <v>84</v>
      </c>
      <c r="BU14" s="178">
        <v>46787</v>
      </c>
      <c r="BV14" s="99"/>
      <c r="CB14" s="181" t="s">
        <v>73</v>
      </c>
      <c r="CC14" s="181"/>
    </row>
    <row r="15" spans="1:81" s="291" customFormat="1" ht="22.7" customHeight="1">
      <c r="A15" s="268">
        <v>6</v>
      </c>
      <c r="B15" s="77" t="s">
        <v>211</v>
      </c>
      <c r="C15" s="177" t="s">
        <v>268</v>
      </c>
      <c r="D15" s="192">
        <v>1098774228</v>
      </c>
      <c r="E15" s="276" t="s">
        <v>300</v>
      </c>
      <c r="F15" s="194" t="s">
        <v>369</v>
      </c>
      <c r="G15" s="198"/>
      <c r="H15" s="183">
        <v>46460</v>
      </c>
      <c r="I15" s="282" t="s">
        <v>185</v>
      </c>
      <c r="J15" s="161"/>
      <c r="K15" s="159"/>
      <c r="L15" s="160"/>
      <c r="M15" s="155" t="s">
        <v>78</v>
      </c>
      <c r="N15" s="159" t="s">
        <v>22</v>
      </c>
      <c r="O15" s="162">
        <v>5</v>
      </c>
      <c r="P15" s="167" t="s">
        <v>84</v>
      </c>
      <c r="Q15" s="250" t="s">
        <v>71</v>
      </c>
      <c r="R15" s="161"/>
      <c r="S15" s="160"/>
      <c r="T15" s="160"/>
      <c r="U15" s="155" t="s">
        <v>78</v>
      </c>
      <c r="V15" s="172" t="s">
        <v>30</v>
      </c>
      <c r="W15" s="166" t="s">
        <v>30</v>
      </c>
      <c r="X15" s="166" t="s">
        <v>30</v>
      </c>
      <c r="Y15" s="282" t="s">
        <v>30</v>
      </c>
      <c r="Z15" s="161" t="s">
        <v>22</v>
      </c>
      <c r="AA15" s="160">
        <v>5</v>
      </c>
      <c r="AB15" s="160" t="s">
        <v>84</v>
      </c>
      <c r="AC15" s="155" t="s">
        <v>70</v>
      </c>
      <c r="AD15" s="159" t="s">
        <v>22</v>
      </c>
      <c r="AE15" s="160">
        <v>5</v>
      </c>
      <c r="AF15" s="160" t="s">
        <v>84</v>
      </c>
      <c r="AG15" s="169" t="s">
        <v>71</v>
      </c>
      <c r="AH15" s="161" t="s">
        <v>21</v>
      </c>
      <c r="AI15" s="160"/>
      <c r="AJ15" s="160"/>
      <c r="AK15" s="170" t="s">
        <v>75</v>
      </c>
      <c r="AL15" s="168"/>
      <c r="AM15" s="165"/>
      <c r="AN15" s="165"/>
      <c r="AO15" s="155"/>
      <c r="AP15" s="161"/>
      <c r="AQ15" s="165"/>
      <c r="AR15" s="165"/>
      <c r="AS15" s="170"/>
      <c r="AT15" s="246"/>
      <c r="AU15" s="160"/>
      <c r="AV15" s="165"/>
      <c r="AW15" s="170"/>
      <c r="AX15" s="210" t="s">
        <v>30</v>
      </c>
      <c r="AY15" s="166" t="s">
        <v>30</v>
      </c>
      <c r="AZ15" s="166" t="s">
        <v>30</v>
      </c>
      <c r="BA15" s="309" t="s">
        <v>30</v>
      </c>
      <c r="BB15" s="172" t="s">
        <v>30</v>
      </c>
      <c r="BC15" s="166" t="s">
        <v>30</v>
      </c>
      <c r="BD15" s="166" t="s">
        <v>30</v>
      </c>
      <c r="BE15" s="310" t="s">
        <v>30</v>
      </c>
      <c r="BF15" s="210" t="s">
        <v>30</v>
      </c>
      <c r="BG15" s="166" t="s">
        <v>30</v>
      </c>
      <c r="BH15" s="166" t="s">
        <v>30</v>
      </c>
      <c r="BI15" s="310" t="s">
        <v>30</v>
      </c>
      <c r="BJ15" s="210" t="s">
        <v>30</v>
      </c>
      <c r="BK15" s="166" t="s">
        <v>30</v>
      </c>
      <c r="BL15" s="166" t="s">
        <v>30</v>
      </c>
      <c r="BM15" s="166" t="s">
        <v>30</v>
      </c>
      <c r="BN15" s="280"/>
      <c r="BO15" s="160"/>
      <c r="BP15" s="160"/>
      <c r="BQ15" s="170" t="s">
        <v>78</v>
      </c>
      <c r="BR15" s="246"/>
      <c r="BS15" s="166"/>
      <c r="BT15" s="160"/>
      <c r="BU15" s="170" t="s">
        <v>77</v>
      </c>
      <c r="BV15" s="290"/>
    </row>
    <row r="16" spans="1:81" s="15" customFormat="1" ht="22.7" hidden="1" customHeight="1">
      <c r="A16" s="53">
        <v>7</v>
      </c>
      <c r="B16" s="77" t="s">
        <v>211</v>
      </c>
      <c r="C16" s="177" t="s">
        <v>271</v>
      </c>
      <c r="D16" s="191">
        <v>74083945</v>
      </c>
      <c r="E16" t="s">
        <v>303</v>
      </c>
      <c r="F16" s="194" t="s">
        <v>273</v>
      </c>
      <c r="G16" s="194"/>
      <c r="H16" s="196">
        <v>46435</v>
      </c>
      <c r="I16" s="184" t="s">
        <v>353</v>
      </c>
      <c r="J16" s="161" t="s">
        <v>22</v>
      </c>
      <c r="K16" s="159" t="s">
        <v>329</v>
      </c>
      <c r="L16" s="160" t="s">
        <v>84</v>
      </c>
      <c r="M16" s="155" t="s">
        <v>70</v>
      </c>
      <c r="N16" s="152" t="s">
        <v>30</v>
      </c>
      <c r="O16" s="151" t="s">
        <v>30</v>
      </c>
      <c r="P16" s="151" t="s">
        <v>30</v>
      </c>
      <c r="Q16" s="188" t="s">
        <v>30</v>
      </c>
      <c r="R16" s="161" t="s">
        <v>22</v>
      </c>
      <c r="S16" s="160" t="s">
        <v>329</v>
      </c>
      <c r="T16" s="160" t="s">
        <v>84</v>
      </c>
      <c r="U16" s="155" t="s">
        <v>70</v>
      </c>
      <c r="V16" s="152" t="s">
        <v>30</v>
      </c>
      <c r="W16" s="151" t="s">
        <v>30</v>
      </c>
      <c r="X16" s="151" t="s">
        <v>30</v>
      </c>
      <c r="Y16" s="188" t="s">
        <v>30</v>
      </c>
      <c r="Z16" s="161" t="s">
        <v>22</v>
      </c>
      <c r="AA16" s="160">
        <v>5</v>
      </c>
      <c r="AB16" s="160" t="s">
        <v>84</v>
      </c>
      <c r="AC16" s="155" t="s">
        <v>70</v>
      </c>
      <c r="AD16" s="165" t="s">
        <v>22</v>
      </c>
      <c r="AE16" s="164">
        <v>5</v>
      </c>
      <c r="AF16" s="165" t="s">
        <v>84</v>
      </c>
      <c r="AG16" s="169" t="s">
        <v>71</v>
      </c>
      <c r="AH16" s="157" t="s">
        <v>30</v>
      </c>
      <c r="AI16" s="151" t="s">
        <v>30</v>
      </c>
      <c r="AJ16" s="151" t="s">
        <v>30</v>
      </c>
      <c r="AK16" s="158" t="s">
        <v>30</v>
      </c>
      <c r="AL16" s="267"/>
      <c r="AM16" s="76"/>
      <c r="AN16" s="76"/>
      <c r="AO16" s="155"/>
      <c r="AP16" s="60"/>
      <c r="AQ16" s="76"/>
      <c r="AR16" s="76"/>
      <c r="AS16" s="170"/>
      <c r="AT16" s="102"/>
      <c r="AU16" s="59"/>
      <c r="AV16" s="76"/>
      <c r="AW16" s="170"/>
      <c r="AX16" s="157" t="s">
        <v>30</v>
      </c>
      <c r="AY16" s="151" t="s">
        <v>30</v>
      </c>
      <c r="AZ16" s="151" t="s">
        <v>30</v>
      </c>
      <c r="BA16" s="154">
        <v>46432</v>
      </c>
      <c r="BB16" s="152" t="s">
        <v>30</v>
      </c>
      <c r="BC16" s="151" t="s">
        <v>30</v>
      </c>
      <c r="BD16" s="151" t="s">
        <v>30</v>
      </c>
      <c r="BE16" s="204">
        <v>46433</v>
      </c>
      <c r="BF16" s="157" t="s">
        <v>30</v>
      </c>
      <c r="BG16" s="151" t="s">
        <v>30</v>
      </c>
      <c r="BH16" s="151" t="s">
        <v>30</v>
      </c>
      <c r="BI16" s="270">
        <v>47520</v>
      </c>
      <c r="BJ16" s="157" t="s">
        <v>30</v>
      </c>
      <c r="BK16" s="151" t="s">
        <v>30</v>
      </c>
      <c r="BL16" s="151" t="s">
        <v>30</v>
      </c>
      <c r="BM16" s="170" t="s">
        <v>79</v>
      </c>
      <c r="BN16" s="159" t="s">
        <v>22</v>
      </c>
      <c r="BO16" s="160" t="s">
        <v>344</v>
      </c>
      <c r="BP16" s="160" t="s">
        <v>84</v>
      </c>
      <c r="BQ16" s="154">
        <v>46472</v>
      </c>
      <c r="BR16" s="161" t="s">
        <v>22</v>
      </c>
      <c r="BS16" s="160" t="s">
        <v>329</v>
      </c>
      <c r="BT16" s="160" t="s">
        <v>84</v>
      </c>
      <c r="BU16" s="178">
        <v>46838</v>
      </c>
      <c r="BV16" s="99"/>
      <c r="BW16" s="98"/>
      <c r="BX16" s="98"/>
      <c r="CB16" s="181" t="s">
        <v>75</v>
      </c>
      <c r="CC16" s="181"/>
    </row>
    <row r="17" spans="1:81" s="15" customFormat="1" ht="22.7" hidden="1" customHeight="1">
      <c r="A17" s="53">
        <v>8</v>
      </c>
      <c r="B17" s="77" t="s">
        <v>211</v>
      </c>
      <c r="C17" s="177" t="s">
        <v>247</v>
      </c>
      <c r="D17" s="191">
        <v>1035854640</v>
      </c>
      <c r="E17" t="s">
        <v>285</v>
      </c>
      <c r="F17" s="194" t="s">
        <v>250</v>
      </c>
      <c r="G17" s="194"/>
      <c r="H17" s="183">
        <v>46379</v>
      </c>
      <c r="I17" s="184" t="s">
        <v>353</v>
      </c>
      <c r="J17" s="161" t="s">
        <v>22</v>
      </c>
      <c r="K17" s="159">
        <v>5</v>
      </c>
      <c r="L17" s="160" t="s">
        <v>84</v>
      </c>
      <c r="M17" s="155" t="s">
        <v>69</v>
      </c>
      <c r="N17" s="159" t="s">
        <v>22</v>
      </c>
      <c r="O17" s="160">
        <v>5</v>
      </c>
      <c r="P17" s="167" t="s">
        <v>84</v>
      </c>
      <c r="Q17" s="249" t="s">
        <v>69</v>
      </c>
      <c r="R17" s="161" t="s">
        <v>22</v>
      </c>
      <c r="S17" s="160">
        <v>5</v>
      </c>
      <c r="T17" s="160" t="s">
        <v>84</v>
      </c>
      <c r="U17" s="155" t="s">
        <v>69</v>
      </c>
      <c r="V17" s="152" t="s">
        <v>30</v>
      </c>
      <c r="W17" s="151" t="s">
        <v>30</v>
      </c>
      <c r="X17" s="151" t="s">
        <v>30</v>
      </c>
      <c r="Y17" s="188" t="s">
        <v>30</v>
      </c>
      <c r="Z17" s="161" t="s">
        <v>22</v>
      </c>
      <c r="AA17" s="160">
        <v>5</v>
      </c>
      <c r="AB17" s="160" t="s">
        <v>84</v>
      </c>
      <c r="AC17" s="155" t="s">
        <v>70</v>
      </c>
      <c r="AD17" s="165" t="s">
        <v>22</v>
      </c>
      <c r="AE17" s="164">
        <v>5</v>
      </c>
      <c r="AF17" s="165" t="s">
        <v>84</v>
      </c>
      <c r="AG17" s="169" t="s">
        <v>71</v>
      </c>
      <c r="AH17" s="157" t="s">
        <v>30</v>
      </c>
      <c r="AI17" s="151" t="s">
        <v>30</v>
      </c>
      <c r="AJ17" s="151" t="s">
        <v>30</v>
      </c>
      <c r="AK17" s="158" t="s">
        <v>30</v>
      </c>
      <c r="AL17" s="168"/>
      <c r="AM17" s="164"/>
      <c r="AN17" s="165"/>
      <c r="AO17" s="155"/>
      <c r="AP17" s="161"/>
      <c r="AQ17" s="165"/>
      <c r="AR17" s="165"/>
      <c r="AS17" s="170"/>
      <c r="AT17" s="246"/>
      <c r="AU17" s="166"/>
      <c r="AV17" s="165"/>
      <c r="AW17" s="170"/>
      <c r="AX17" s="157" t="s">
        <v>30</v>
      </c>
      <c r="AY17" s="151" t="s">
        <v>30</v>
      </c>
      <c r="AZ17" s="151" t="s">
        <v>30</v>
      </c>
      <c r="BA17" s="158" t="s">
        <v>30</v>
      </c>
      <c r="BB17" s="152" t="s">
        <v>30</v>
      </c>
      <c r="BC17" s="151" t="s">
        <v>30</v>
      </c>
      <c r="BD17" s="151" t="s">
        <v>30</v>
      </c>
      <c r="BE17" s="188" t="s">
        <v>30</v>
      </c>
      <c r="BF17" s="157" t="s">
        <v>30</v>
      </c>
      <c r="BG17" s="151" t="s">
        <v>30</v>
      </c>
      <c r="BH17" s="151" t="s">
        <v>30</v>
      </c>
      <c r="BI17" s="188" t="s">
        <v>30</v>
      </c>
      <c r="BJ17" s="157" t="s">
        <v>30</v>
      </c>
      <c r="BK17" s="151" t="s">
        <v>30</v>
      </c>
      <c r="BL17" s="151" t="s">
        <v>30</v>
      </c>
      <c r="BM17" s="170" t="s">
        <v>77</v>
      </c>
      <c r="BN17" s="159" t="s">
        <v>22</v>
      </c>
      <c r="BO17" s="160">
        <v>5</v>
      </c>
      <c r="BP17" s="160" t="s">
        <v>84</v>
      </c>
      <c r="BQ17" s="178">
        <v>46400</v>
      </c>
      <c r="BR17" s="161" t="s">
        <v>22</v>
      </c>
      <c r="BS17" s="160" t="s">
        <v>329</v>
      </c>
      <c r="BT17" s="160" t="s">
        <v>84</v>
      </c>
      <c r="BU17" s="178">
        <v>46765</v>
      </c>
      <c r="BV17" s="99"/>
      <c r="CB17" s="181" t="s">
        <v>76</v>
      </c>
      <c r="CC17" s="181"/>
    </row>
    <row r="18" spans="1:81" s="291" customFormat="1" ht="22.7" customHeight="1">
      <c r="A18" s="268">
        <v>9</v>
      </c>
      <c r="B18" s="77" t="s">
        <v>211</v>
      </c>
      <c r="C18" s="177" t="s">
        <v>248</v>
      </c>
      <c r="D18" s="191">
        <v>1054678905</v>
      </c>
      <c r="E18" s="177" t="s">
        <v>286</v>
      </c>
      <c r="F18" s="194" t="s">
        <v>254</v>
      </c>
      <c r="G18" s="194"/>
      <c r="H18" s="183">
        <v>46423</v>
      </c>
      <c r="I18" s="282" t="s">
        <v>185</v>
      </c>
      <c r="J18" s="161" t="s">
        <v>22</v>
      </c>
      <c r="K18" s="159">
        <v>4</v>
      </c>
      <c r="L18" s="160" t="s">
        <v>84</v>
      </c>
      <c r="M18" s="155" t="s">
        <v>69</v>
      </c>
      <c r="N18" s="172" t="s">
        <v>30</v>
      </c>
      <c r="O18" s="166" t="s">
        <v>30</v>
      </c>
      <c r="P18" s="166" t="s">
        <v>30</v>
      </c>
      <c r="Q18" s="282" t="s">
        <v>30</v>
      </c>
      <c r="R18" s="161" t="s">
        <v>22</v>
      </c>
      <c r="S18" s="160" t="s">
        <v>329</v>
      </c>
      <c r="T18" s="160" t="s">
        <v>84</v>
      </c>
      <c r="U18" s="155" t="s">
        <v>69</v>
      </c>
      <c r="V18" s="172" t="s">
        <v>30</v>
      </c>
      <c r="W18" s="166" t="s">
        <v>30</v>
      </c>
      <c r="X18" s="166" t="s">
        <v>30</v>
      </c>
      <c r="Y18" s="282" t="s">
        <v>30</v>
      </c>
      <c r="Z18" s="161" t="s">
        <v>22</v>
      </c>
      <c r="AA18" s="160">
        <v>5</v>
      </c>
      <c r="AB18" s="160" t="s">
        <v>84</v>
      </c>
      <c r="AC18" s="155" t="s">
        <v>70</v>
      </c>
      <c r="AD18" s="159" t="s">
        <v>22</v>
      </c>
      <c r="AE18" s="160">
        <v>5</v>
      </c>
      <c r="AF18" s="160" t="s">
        <v>84</v>
      </c>
      <c r="AG18" s="169" t="s">
        <v>71</v>
      </c>
      <c r="AH18" s="161" t="s">
        <v>22</v>
      </c>
      <c r="AI18" s="160">
        <v>5</v>
      </c>
      <c r="AJ18" s="160" t="s">
        <v>84</v>
      </c>
      <c r="AK18" s="289" t="s">
        <v>74</v>
      </c>
      <c r="AL18" s="168"/>
      <c r="AM18" s="164"/>
      <c r="AN18" s="165"/>
      <c r="AO18" s="155"/>
      <c r="AP18" s="161"/>
      <c r="AQ18" s="164"/>
      <c r="AR18" s="165"/>
      <c r="AS18" s="170"/>
      <c r="AT18" s="246"/>
      <c r="AU18" s="166"/>
      <c r="AV18" s="165"/>
      <c r="AW18" s="170"/>
      <c r="AX18" s="161"/>
      <c r="AY18" s="160"/>
      <c r="AZ18" s="160"/>
      <c r="BA18" s="170" t="s">
        <v>80</v>
      </c>
      <c r="BB18" s="159"/>
      <c r="BC18" s="160"/>
      <c r="BD18" s="160"/>
      <c r="BE18" s="169" t="s">
        <v>80</v>
      </c>
      <c r="BF18" s="210" t="s">
        <v>30</v>
      </c>
      <c r="BG18" s="166" t="s">
        <v>30</v>
      </c>
      <c r="BH18" s="166" t="s">
        <v>30</v>
      </c>
      <c r="BI18" s="279">
        <v>46732</v>
      </c>
      <c r="BJ18" s="210" t="s">
        <v>30</v>
      </c>
      <c r="BK18" s="166" t="s">
        <v>30</v>
      </c>
      <c r="BL18" s="166" t="s">
        <v>30</v>
      </c>
      <c r="BM18" s="166" t="s">
        <v>30</v>
      </c>
      <c r="BN18" s="280"/>
      <c r="BO18" s="160"/>
      <c r="BP18" s="160"/>
      <c r="BQ18" s="170" t="s">
        <v>78</v>
      </c>
      <c r="BR18" s="161" t="s">
        <v>22</v>
      </c>
      <c r="BS18" s="160">
        <v>4.5</v>
      </c>
      <c r="BT18" s="160" t="s">
        <v>84</v>
      </c>
      <c r="BU18" s="170" t="s">
        <v>75</v>
      </c>
      <c r="BV18" s="290"/>
      <c r="CB18" s="292" t="s">
        <v>77</v>
      </c>
      <c r="CC18" s="292"/>
    </row>
    <row r="19" spans="1:81" s="291" customFormat="1" ht="22.7" hidden="1" customHeight="1">
      <c r="A19" s="268">
        <v>10</v>
      </c>
      <c r="B19" s="77" t="s">
        <v>211</v>
      </c>
      <c r="C19" s="177" t="s">
        <v>280</v>
      </c>
      <c r="D19" s="191">
        <v>98644693</v>
      </c>
      <c r="E19" s="276" t="s">
        <v>299</v>
      </c>
      <c r="F19" s="194" t="s">
        <v>264</v>
      </c>
      <c r="G19" s="194"/>
      <c r="H19" s="183">
        <v>46456</v>
      </c>
      <c r="I19" s="282" t="s">
        <v>396</v>
      </c>
      <c r="J19" s="161" t="s">
        <v>22</v>
      </c>
      <c r="K19" s="159">
        <v>5</v>
      </c>
      <c r="L19" s="166" t="s">
        <v>84</v>
      </c>
      <c r="M19" s="155" t="s">
        <v>70</v>
      </c>
      <c r="N19" s="172" t="s">
        <v>30</v>
      </c>
      <c r="O19" s="166" t="s">
        <v>30</v>
      </c>
      <c r="P19" s="166" t="s">
        <v>30</v>
      </c>
      <c r="Q19" s="282" t="s">
        <v>30</v>
      </c>
      <c r="R19" s="161" t="s">
        <v>22</v>
      </c>
      <c r="S19" s="160">
        <v>5</v>
      </c>
      <c r="T19" s="160" t="s">
        <v>84</v>
      </c>
      <c r="U19" s="155" t="s">
        <v>70</v>
      </c>
      <c r="V19" s="172" t="s">
        <v>30</v>
      </c>
      <c r="W19" s="166" t="s">
        <v>30</v>
      </c>
      <c r="X19" s="166" t="s">
        <v>30</v>
      </c>
      <c r="Y19" s="282" t="s">
        <v>30</v>
      </c>
      <c r="Z19" s="161" t="s">
        <v>22</v>
      </c>
      <c r="AA19" s="160">
        <v>5</v>
      </c>
      <c r="AB19" s="160" t="s">
        <v>84</v>
      </c>
      <c r="AC19" s="155" t="s">
        <v>70</v>
      </c>
      <c r="AD19" s="159" t="s">
        <v>22</v>
      </c>
      <c r="AE19" s="160">
        <v>5</v>
      </c>
      <c r="AF19" s="160" t="s">
        <v>84</v>
      </c>
      <c r="AG19" s="169" t="s">
        <v>71</v>
      </c>
      <c r="AH19" s="161" t="s">
        <v>21</v>
      </c>
      <c r="AI19" s="160"/>
      <c r="AJ19" s="160"/>
      <c r="AK19" s="170" t="s">
        <v>75</v>
      </c>
      <c r="AL19" s="268"/>
      <c r="AM19" s="164"/>
      <c r="AN19" s="164"/>
      <c r="AO19" s="155"/>
      <c r="AP19" s="210"/>
      <c r="AQ19" s="164"/>
      <c r="AR19" s="164"/>
      <c r="AS19" s="170"/>
      <c r="AT19" s="293"/>
      <c r="AU19" s="166"/>
      <c r="AV19" s="164"/>
      <c r="AW19" s="170"/>
      <c r="AX19" s="210"/>
      <c r="AY19" s="166"/>
      <c r="AZ19" s="166"/>
      <c r="BA19" s="170" t="s">
        <v>79</v>
      </c>
      <c r="BB19" s="172" t="s">
        <v>30</v>
      </c>
      <c r="BC19" s="166" t="s">
        <v>30</v>
      </c>
      <c r="BD19" s="166" t="s">
        <v>30</v>
      </c>
      <c r="BE19" s="171">
        <v>46461</v>
      </c>
      <c r="BF19" s="161" t="s">
        <v>22</v>
      </c>
      <c r="BG19" s="160">
        <v>5</v>
      </c>
      <c r="BH19" s="160" t="s">
        <v>84</v>
      </c>
      <c r="BI19" s="171">
        <v>47909</v>
      </c>
      <c r="BJ19" s="210" t="s">
        <v>30</v>
      </c>
      <c r="BK19" s="166" t="s">
        <v>30</v>
      </c>
      <c r="BL19" s="166" t="s">
        <v>30</v>
      </c>
      <c r="BM19" s="166" t="s">
        <v>30</v>
      </c>
      <c r="BN19" s="159" t="s">
        <v>22</v>
      </c>
      <c r="BO19" s="160">
        <v>5</v>
      </c>
      <c r="BP19" s="160" t="s">
        <v>84</v>
      </c>
      <c r="BQ19" s="278">
        <v>46417</v>
      </c>
      <c r="BR19" s="161" t="s">
        <v>22</v>
      </c>
      <c r="BS19" s="160">
        <v>5</v>
      </c>
      <c r="BT19" s="160" t="s">
        <v>84</v>
      </c>
      <c r="BU19" s="278">
        <v>46782</v>
      </c>
      <c r="BV19" s="290"/>
      <c r="CB19" s="292" t="s">
        <v>78</v>
      </c>
      <c r="CC19" s="292"/>
    </row>
    <row r="20" spans="1:81" s="15" customFormat="1" ht="22.7" hidden="1" customHeight="1">
      <c r="A20" s="53">
        <v>11</v>
      </c>
      <c r="B20" s="77" t="s">
        <v>211</v>
      </c>
      <c r="C20" s="177" t="s">
        <v>249</v>
      </c>
      <c r="D20" s="193" t="s">
        <v>332</v>
      </c>
      <c r="E20" t="s">
        <v>287</v>
      </c>
      <c r="F20" s="194" t="s">
        <v>254</v>
      </c>
      <c r="G20" s="194"/>
      <c r="H20" s="183">
        <v>46408</v>
      </c>
      <c r="I20" s="184" t="s">
        <v>353</v>
      </c>
      <c r="J20" s="161" t="s">
        <v>22</v>
      </c>
      <c r="K20" s="159">
        <v>5</v>
      </c>
      <c r="L20" s="160" t="s">
        <v>84</v>
      </c>
      <c r="M20" s="155" t="s">
        <v>69</v>
      </c>
      <c r="N20" s="152" t="s">
        <v>30</v>
      </c>
      <c r="O20" s="151" t="s">
        <v>30</v>
      </c>
      <c r="P20" s="151" t="s">
        <v>30</v>
      </c>
      <c r="Q20" s="188" t="s">
        <v>30</v>
      </c>
      <c r="R20" s="161" t="s">
        <v>22</v>
      </c>
      <c r="S20" s="160">
        <v>4</v>
      </c>
      <c r="T20" s="160" t="s">
        <v>84</v>
      </c>
      <c r="U20" s="155" t="s">
        <v>69</v>
      </c>
      <c r="V20" s="159" t="s">
        <v>22</v>
      </c>
      <c r="W20" s="160">
        <v>5</v>
      </c>
      <c r="X20" s="160" t="s">
        <v>84</v>
      </c>
      <c r="Y20" s="202" t="s">
        <v>72</v>
      </c>
      <c r="Z20" s="161" t="s">
        <v>22</v>
      </c>
      <c r="AA20" s="160">
        <v>5</v>
      </c>
      <c r="AB20" s="160" t="s">
        <v>84</v>
      </c>
      <c r="AC20" s="155" t="s">
        <v>70</v>
      </c>
      <c r="AD20" s="165" t="s">
        <v>22</v>
      </c>
      <c r="AE20" s="164">
        <v>5</v>
      </c>
      <c r="AF20" s="165" t="s">
        <v>84</v>
      </c>
      <c r="AG20" s="169" t="s">
        <v>71</v>
      </c>
      <c r="AH20" s="157" t="s">
        <v>30</v>
      </c>
      <c r="AI20" s="151" t="s">
        <v>30</v>
      </c>
      <c r="AJ20" s="151" t="s">
        <v>30</v>
      </c>
      <c r="AK20" s="158" t="s">
        <v>30</v>
      </c>
      <c r="AL20" s="168"/>
      <c r="AM20" s="164"/>
      <c r="AN20" s="165"/>
      <c r="AO20" s="155"/>
      <c r="AP20" s="161"/>
      <c r="AQ20" s="164"/>
      <c r="AR20" s="165"/>
      <c r="AS20" s="170"/>
      <c r="AT20" s="246"/>
      <c r="AU20" s="166"/>
      <c r="AV20" s="165"/>
      <c r="AW20" s="170"/>
      <c r="AX20" s="157" t="s">
        <v>30</v>
      </c>
      <c r="AY20" s="151" t="s">
        <v>30</v>
      </c>
      <c r="AZ20" s="151" t="s">
        <v>30</v>
      </c>
      <c r="BA20" s="170" t="s">
        <v>78</v>
      </c>
      <c r="BB20" s="152" t="s">
        <v>30</v>
      </c>
      <c r="BC20" s="151" t="s">
        <v>30</v>
      </c>
      <c r="BD20" s="151" t="s">
        <v>30</v>
      </c>
      <c r="BE20" s="204">
        <v>46762</v>
      </c>
      <c r="BF20" s="157" t="s">
        <v>30</v>
      </c>
      <c r="BG20" s="151" t="s">
        <v>30</v>
      </c>
      <c r="BH20" s="151" t="s">
        <v>30</v>
      </c>
      <c r="BI20" s="270">
        <v>47863</v>
      </c>
      <c r="BJ20" s="161" t="s">
        <v>22</v>
      </c>
      <c r="BK20" s="160">
        <v>5</v>
      </c>
      <c r="BL20" s="160" t="s">
        <v>84</v>
      </c>
      <c r="BM20" s="170" t="s">
        <v>70</v>
      </c>
      <c r="BN20" s="159" t="s">
        <v>22</v>
      </c>
      <c r="BO20" s="160" t="s">
        <v>329</v>
      </c>
      <c r="BP20" s="160" t="s">
        <v>84</v>
      </c>
      <c r="BQ20" s="178">
        <v>46407</v>
      </c>
      <c r="BR20" s="161" t="s">
        <v>22</v>
      </c>
      <c r="BS20" s="160" t="s">
        <v>329</v>
      </c>
      <c r="BT20" s="160" t="s">
        <v>84</v>
      </c>
      <c r="BU20" s="178">
        <v>46772</v>
      </c>
      <c r="BV20" s="99"/>
      <c r="CB20" s="181" t="s">
        <v>79</v>
      </c>
      <c r="CC20" s="181"/>
    </row>
    <row r="21" spans="1:81" s="291" customFormat="1" ht="21.75" customHeight="1">
      <c r="A21" s="268">
        <v>12</v>
      </c>
      <c r="B21" s="77" t="s">
        <v>211</v>
      </c>
      <c r="C21" s="176" t="s">
        <v>270</v>
      </c>
      <c r="D21" s="191">
        <v>80794172</v>
      </c>
      <c r="E21" s="276" t="s">
        <v>302</v>
      </c>
      <c r="F21" s="194" t="s">
        <v>272</v>
      </c>
      <c r="G21" s="194"/>
      <c r="H21" s="183">
        <v>46554</v>
      </c>
      <c r="I21" s="282" t="s">
        <v>185</v>
      </c>
      <c r="J21" s="161" t="s">
        <v>22</v>
      </c>
      <c r="K21" s="159">
        <v>5</v>
      </c>
      <c r="L21" s="160" t="s">
        <v>84</v>
      </c>
      <c r="M21" s="155" t="s">
        <v>74</v>
      </c>
      <c r="N21" s="172" t="s">
        <v>30</v>
      </c>
      <c r="O21" s="166" t="s">
        <v>30</v>
      </c>
      <c r="P21" s="166" t="s">
        <v>30</v>
      </c>
      <c r="Q21" s="282" t="s">
        <v>30</v>
      </c>
      <c r="R21" s="161" t="s">
        <v>22</v>
      </c>
      <c r="S21" s="160">
        <v>4.5</v>
      </c>
      <c r="T21" s="160" t="s">
        <v>84</v>
      </c>
      <c r="U21" s="155" t="s">
        <v>74</v>
      </c>
      <c r="V21" s="172" t="s">
        <v>30</v>
      </c>
      <c r="W21" s="166" t="s">
        <v>30</v>
      </c>
      <c r="X21" s="166" t="s">
        <v>30</v>
      </c>
      <c r="Y21" s="282" t="s">
        <v>30</v>
      </c>
      <c r="Z21" s="161" t="s">
        <v>22</v>
      </c>
      <c r="AA21" s="160">
        <v>5</v>
      </c>
      <c r="AB21" s="160" t="s">
        <v>84</v>
      </c>
      <c r="AC21" s="155" t="s">
        <v>70</v>
      </c>
      <c r="AD21" s="159" t="s">
        <v>22</v>
      </c>
      <c r="AE21" s="160">
        <v>5</v>
      </c>
      <c r="AF21" s="160" t="s">
        <v>84</v>
      </c>
      <c r="AG21" s="169" t="s">
        <v>71</v>
      </c>
      <c r="AH21" s="161" t="s">
        <v>21</v>
      </c>
      <c r="AI21" s="160"/>
      <c r="AJ21" s="160"/>
      <c r="AK21" s="170" t="s">
        <v>75</v>
      </c>
      <c r="AL21" s="168"/>
      <c r="AM21" s="165"/>
      <c r="AN21" s="165"/>
      <c r="AO21" s="155"/>
      <c r="AP21" s="161"/>
      <c r="AQ21" s="165"/>
      <c r="AR21" s="165"/>
      <c r="AS21" s="170"/>
      <c r="AT21" s="246"/>
      <c r="AU21" s="160"/>
      <c r="AV21" s="165"/>
      <c r="AW21" s="170"/>
      <c r="AX21" s="210" t="s">
        <v>30</v>
      </c>
      <c r="AY21" s="166" t="s">
        <v>30</v>
      </c>
      <c r="AZ21" s="166" t="s">
        <v>30</v>
      </c>
      <c r="BA21" s="155">
        <v>46635</v>
      </c>
      <c r="BB21" s="172" t="s">
        <v>30</v>
      </c>
      <c r="BC21" s="166" t="s">
        <v>30</v>
      </c>
      <c r="BD21" s="166" t="s">
        <v>30</v>
      </c>
      <c r="BE21" s="171">
        <v>46566</v>
      </c>
      <c r="BF21" s="210" t="s">
        <v>30</v>
      </c>
      <c r="BG21" s="166" t="s">
        <v>30</v>
      </c>
      <c r="BH21" s="166" t="s">
        <v>30</v>
      </c>
      <c r="BI21" s="279">
        <v>47135</v>
      </c>
      <c r="BJ21" s="210" t="s">
        <v>30</v>
      </c>
      <c r="BK21" s="166" t="s">
        <v>30</v>
      </c>
      <c r="BL21" s="166" t="s">
        <v>30</v>
      </c>
      <c r="BM21" s="166" t="s">
        <v>30</v>
      </c>
      <c r="BN21" s="159" t="s">
        <v>22</v>
      </c>
      <c r="BO21" s="160">
        <v>5</v>
      </c>
      <c r="BP21" s="160" t="s">
        <v>84</v>
      </c>
      <c r="BQ21" s="278">
        <v>46492</v>
      </c>
      <c r="BR21" s="161" t="s">
        <v>22</v>
      </c>
      <c r="BS21" s="160">
        <v>5</v>
      </c>
      <c r="BT21" s="160" t="s">
        <v>84</v>
      </c>
      <c r="BU21" s="278">
        <v>46807</v>
      </c>
      <c r="BV21" s="290"/>
      <c r="CB21" s="292" t="s">
        <v>80</v>
      </c>
      <c r="CC21" s="292"/>
    </row>
    <row r="22" spans="1:81" s="294" customFormat="1" ht="21.75" customHeight="1">
      <c r="A22" s="268">
        <v>13</v>
      </c>
      <c r="B22" s="77" t="s">
        <v>211</v>
      </c>
      <c r="C22" s="177" t="s">
        <v>251</v>
      </c>
      <c r="D22" s="191">
        <v>1019133012</v>
      </c>
      <c r="E22" s="276" t="s">
        <v>288</v>
      </c>
      <c r="F22" s="194" t="s">
        <v>369</v>
      </c>
      <c r="G22" s="198"/>
      <c r="H22" s="183">
        <v>46406</v>
      </c>
      <c r="I22" s="282" t="s">
        <v>185</v>
      </c>
      <c r="J22" s="161" t="s">
        <v>22</v>
      </c>
      <c r="K22" s="159">
        <v>5</v>
      </c>
      <c r="L22" s="160" t="s">
        <v>84</v>
      </c>
      <c r="M22" s="155" t="s">
        <v>69</v>
      </c>
      <c r="N22" s="159" t="s">
        <v>22</v>
      </c>
      <c r="O22" s="160">
        <v>5</v>
      </c>
      <c r="P22" s="167" t="s">
        <v>84</v>
      </c>
      <c r="Q22" s="249" t="s">
        <v>69</v>
      </c>
      <c r="R22" s="161" t="s">
        <v>22</v>
      </c>
      <c r="S22" s="160">
        <v>4</v>
      </c>
      <c r="T22" s="160" t="s">
        <v>84</v>
      </c>
      <c r="U22" s="155" t="s">
        <v>69</v>
      </c>
      <c r="V22" s="172" t="s">
        <v>30</v>
      </c>
      <c r="W22" s="166" t="s">
        <v>30</v>
      </c>
      <c r="X22" s="166" t="s">
        <v>30</v>
      </c>
      <c r="Y22" s="282" t="s">
        <v>30</v>
      </c>
      <c r="Z22" s="161" t="s">
        <v>22</v>
      </c>
      <c r="AA22" s="160">
        <v>5</v>
      </c>
      <c r="AB22" s="160" t="s">
        <v>84</v>
      </c>
      <c r="AC22" s="155" t="s">
        <v>70</v>
      </c>
      <c r="AD22" s="159" t="s">
        <v>22</v>
      </c>
      <c r="AE22" s="160">
        <v>5</v>
      </c>
      <c r="AF22" s="160" t="s">
        <v>84</v>
      </c>
      <c r="AG22" s="169" t="s">
        <v>71</v>
      </c>
      <c r="AH22" s="161" t="s">
        <v>22</v>
      </c>
      <c r="AI22" s="160">
        <v>5</v>
      </c>
      <c r="AJ22" s="160" t="s">
        <v>84</v>
      </c>
      <c r="AK22" s="289" t="s">
        <v>74</v>
      </c>
      <c r="AL22" s="161"/>
      <c r="AM22" s="164"/>
      <c r="AN22" s="160"/>
      <c r="AO22" s="155"/>
      <c r="AP22" s="161"/>
      <c r="AQ22" s="164"/>
      <c r="AR22" s="160"/>
      <c r="AS22" s="170"/>
      <c r="AT22" s="246"/>
      <c r="AU22" s="166"/>
      <c r="AV22" s="160"/>
      <c r="AW22" s="170"/>
      <c r="AX22" s="210" t="s">
        <v>30</v>
      </c>
      <c r="AY22" s="166" t="s">
        <v>30</v>
      </c>
      <c r="AZ22" s="166" t="s">
        <v>30</v>
      </c>
      <c r="BA22" s="281" t="s">
        <v>30</v>
      </c>
      <c r="BB22" s="172" t="s">
        <v>30</v>
      </c>
      <c r="BC22" s="166" t="s">
        <v>30</v>
      </c>
      <c r="BD22" s="166" t="s">
        <v>30</v>
      </c>
      <c r="BE22" s="282" t="s">
        <v>30</v>
      </c>
      <c r="BF22" s="210" t="s">
        <v>30</v>
      </c>
      <c r="BG22" s="166" t="s">
        <v>30</v>
      </c>
      <c r="BH22" s="166" t="s">
        <v>30</v>
      </c>
      <c r="BI22" s="282" t="s">
        <v>30</v>
      </c>
      <c r="BJ22" s="210" t="s">
        <v>30</v>
      </c>
      <c r="BK22" s="166" t="s">
        <v>30</v>
      </c>
      <c r="BL22" s="166" t="s">
        <v>30</v>
      </c>
      <c r="BM22" s="166" t="s">
        <v>30</v>
      </c>
      <c r="BN22" s="159" t="s">
        <v>22</v>
      </c>
      <c r="BO22" s="160">
        <v>5</v>
      </c>
      <c r="BP22" s="160" t="s">
        <v>84</v>
      </c>
      <c r="BQ22" s="278">
        <v>46406</v>
      </c>
      <c r="BR22" s="161" t="s">
        <v>22</v>
      </c>
      <c r="BS22" s="160">
        <v>5</v>
      </c>
      <c r="BT22" s="160" t="s">
        <v>84</v>
      </c>
      <c r="BU22" s="278">
        <v>46771</v>
      </c>
      <c r="BV22" s="290"/>
      <c r="CB22" s="295"/>
      <c r="CC22" s="295"/>
    </row>
    <row r="23" spans="1:81" ht="21.75" hidden="1" customHeight="1">
      <c r="A23" s="53">
        <v>14</v>
      </c>
      <c r="B23" s="77" t="s">
        <v>211</v>
      </c>
      <c r="C23" s="177" t="s">
        <v>252</v>
      </c>
      <c r="D23" s="191">
        <v>1019152161</v>
      </c>
      <c r="E23" t="s">
        <v>289</v>
      </c>
      <c r="F23" s="194" t="s">
        <v>253</v>
      </c>
      <c r="G23" s="194"/>
      <c r="H23" s="183">
        <v>46407</v>
      </c>
      <c r="I23" s="184" t="s">
        <v>353</v>
      </c>
      <c r="J23" s="161" t="s">
        <v>22</v>
      </c>
      <c r="K23" s="159">
        <v>5</v>
      </c>
      <c r="L23" s="160" t="s">
        <v>84</v>
      </c>
      <c r="M23" s="155" t="s">
        <v>69</v>
      </c>
      <c r="N23" s="159" t="s">
        <v>22</v>
      </c>
      <c r="O23" s="160">
        <v>5</v>
      </c>
      <c r="P23" s="167" t="s">
        <v>84</v>
      </c>
      <c r="Q23" s="249" t="s">
        <v>69</v>
      </c>
      <c r="R23" s="161" t="s">
        <v>22</v>
      </c>
      <c r="S23" s="160">
        <v>5</v>
      </c>
      <c r="T23" s="160" t="s">
        <v>84</v>
      </c>
      <c r="U23" s="155" t="s">
        <v>69</v>
      </c>
      <c r="V23" s="152" t="s">
        <v>30</v>
      </c>
      <c r="W23" s="151" t="s">
        <v>30</v>
      </c>
      <c r="X23" s="151" t="s">
        <v>30</v>
      </c>
      <c r="Y23" s="188" t="s">
        <v>30</v>
      </c>
      <c r="Z23" s="161" t="s">
        <v>22</v>
      </c>
      <c r="AA23" s="160">
        <v>5</v>
      </c>
      <c r="AB23" s="160" t="s">
        <v>84</v>
      </c>
      <c r="AC23" s="155" t="s">
        <v>70</v>
      </c>
      <c r="AD23" s="159" t="s">
        <v>22</v>
      </c>
      <c r="AE23" s="164">
        <v>5</v>
      </c>
      <c r="AF23" s="160" t="s">
        <v>84</v>
      </c>
      <c r="AG23" s="169" t="s">
        <v>71</v>
      </c>
      <c r="AH23" s="157" t="s">
        <v>30</v>
      </c>
      <c r="AI23" s="151" t="s">
        <v>30</v>
      </c>
      <c r="AJ23" s="151" t="s">
        <v>30</v>
      </c>
      <c r="AK23" s="158" t="s">
        <v>30</v>
      </c>
      <c r="AL23" s="161"/>
      <c r="AM23" s="164"/>
      <c r="AN23" s="160"/>
      <c r="AO23" s="155"/>
      <c r="AP23" s="161"/>
      <c r="AQ23" s="164"/>
      <c r="AR23" s="160"/>
      <c r="AS23" s="170"/>
      <c r="AT23" s="246"/>
      <c r="AU23" s="166"/>
      <c r="AV23" s="160"/>
      <c r="AW23" s="170"/>
      <c r="AX23" s="157" t="s">
        <v>30</v>
      </c>
      <c r="AY23" s="151" t="s">
        <v>30</v>
      </c>
      <c r="AZ23" s="151" t="s">
        <v>30</v>
      </c>
      <c r="BA23" s="158" t="s">
        <v>30</v>
      </c>
      <c r="BB23" s="152" t="s">
        <v>30</v>
      </c>
      <c r="BC23" s="151" t="s">
        <v>30</v>
      </c>
      <c r="BD23" s="151" t="s">
        <v>30</v>
      </c>
      <c r="BE23" s="188" t="s">
        <v>30</v>
      </c>
      <c r="BF23" s="157" t="s">
        <v>30</v>
      </c>
      <c r="BG23" s="151" t="s">
        <v>30</v>
      </c>
      <c r="BH23" s="151" t="s">
        <v>30</v>
      </c>
      <c r="BI23" s="188" t="s">
        <v>30</v>
      </c>
      <c r="BJ23" s="157" t="s">
        <v>30</v>
      </c>
      <c r="BK23" s="151" t="s">
        <v>30</v>
      </c>
      <c r="BL23" s="151" t="s">
        <v>30</v>
      </c>
      <c r="BM23" s="170" t="s">
        <v>77</v>
      </c>
      <c r="BN23" s="159" t="s">
        <v>22</v>
      </c>
      <c r="BO23" s="160">
        <v>5</v>
      </c>
      <c r="BP23" s="160" t="s">
        <v>84</v>
      </c>
      <c r="BQ23" s="178">
        <v>46408</v>
      </c>
      <c r="BR23" s="161" t="s">
        <v>22</v>
      </c>
      <c r="BS23" s="160" t="s">
        <v>329</v>
      </c>
      <c r="BT23" s="160" t="s">
        <v>84</v>
      </c>
      <c r="BU23" s="178">
        <v>46773</v>
      </c>
      <c r="BV23" s="99"/>
      <c r="CB23" s="182"/>
      <c r="CC23" s="182"/>
    </row>
    <row r="24" spans="1:81" s="291" customFormat="1" ht="22.9" hidden="1" customHeight="1">
      <c r="A24" s="268">
        <v>15</v>
      </c>
      <c r="B24" s="77" t="s">
        <v>211</v>
      </c>
      <c r="C24" s="176" t="s">
        <v>274</v>
      </c>
      <c r="D24" s="191">
        <v>75079902</v>
      </c>
      <c r="E24" s="276" t="s">
        <v>306</v>
      </c>
      <c r="F24" s="194" t="s">
        <v>264</v>
      </c>
      <c r="G24" s="194"/>
      <c r="H24" s="183">
        <v>46420</v>
      </c>
      <c r="I24" s="296" t="s">
        <v>396</v>
      </c>
      <c r="J24" s="161" t="s">
        <v>22</v>
      </c>
      <c r="K24" s="159" t="s">
        <v>329</v>
      </c>
      <c r="L24" s="160" t="s">
        <v>84</v>
      </c>
      <c r="M24" s="155" t="s">
        <v>69</v>
      </c>
      <c r="N24" s="172" t="s">
        <v>30</v>
      </c>
      <c r="O24" s="166" t="s">
        <v>30</v>
      </c>
      <c r="P24" s="166" t="s">
        <v>30</v>
      </c>
      <c r="Q24" s="282" t="s">
        <v>30</v>
      </c>
      <c r="R24" s="161" t="s">
        <v>22</v>
      </c>
      <c r="S24" s="160" t="s">
        <v>329</v>
      </c>
      <c r="T24" s="160" t="s">
        <v>84</v>
      </c>
      <c r="U24" s="155" t="s">
        <v>69</v>
      </c>
      <c r="V24" s="164" t="s">
        <v>22</v>
      </c>
      <c r="W24" s="164">
        <v>5</v>
      </c>
      <c r="X24" s="160" t="s">
        <v>84</v>
      </c>
      <c r="Y24" s="202" t="s">
        <v>72</v>
      </c>
      <c r="Z24" s="161" t="s">
        <v>22</v>
      </c>
      <c r="AA24" s="160">
        <v>5</v>
      </c>
      <c r="AB24" s="160" t="s">
        <v>84</v>
      </c>
      <c r="AC24" s="155" t="s">
        <v>70</v>
      </c>
      <c r="AD24" s="159" t="s">
        <v>22</v>
      </c>
      <c r="AE24" s="160" t="s">
        <v>329</v>
      </c>
      <c r="AF24" s="160" t="s">
        <v>84</v>
      </c>
      <c r="AG24" s="169" t="s">
        <v>71</v>
      </c>
      <c r="AH24" s="161" t="s">
        <v>22</v>
      </c>
      <c r="AI24" s="160">
        <v>5</v>
      </c>
      <c r="AJ24" s="160" t="s">
        <v>84</v>
      </c>
      <c r="AK24" s="289" t="s">
        <v>74</v>
      </c>
      <c r="AL24" s="168"/>
      <c r="AM24" s="165"/>
      <c r="AN24" s="167"/>
      <c r="AO24" s="155"/>
      <c r="AP24" s="161"/>
      <c r="AQ24" s="165"/>
      <c r="AR24" s="160"/>
      <c r="AS24" s="170"/>
      <c r="AT24" s="161"/>
      <c r="AU24" s="160"/>
      <c r="AV24" s="160"/>
      <c r="AW24" s="170"/>
      <c r="AX24" s="161" t="s">
        <v>22</v>
      </c>
      <c r="AY24" s="160">
        <v>5</v>
      </c>
      <c r="AZ24" s="160" t="s">
        <v>84</v>
      </c>
      <c r="BA24" s="155">
        <v>46789</v>
      </c>
      <c r="BB24" s="159" t="s">
        <v>22</v>
      </c>
      <c r="BC24" s="160">
        <v>5</v>
      </c>
      <c r="BD24" s="160" t="s">
        <v>84</v>
      </c>
      <c r="BE24" s="171">
        <v>46790</v>
      </c>
      <c r="BF24" s="161" t="s">
        <v>22</v>
      </c>
      <c r="BG24" s="160">
        <v>5</v>
      </c>
      <c r="BH24" s="160" t="s">
        <v>84</v>
      </c>
      <c r="BI24" s="279">
        <v>47898</v>
      </c>
      <c r="BJ24" s="161" t="s">
        <v>22</v>
      </c>
      <c r="BK24" s="160">
        <v>5</v>
      </c>
      <c r="BL24" s="160" t="s">
        <v>84</v>
      </c>
      <c r="BM24" s="170" t="s">
        <v>70</v>
      </c>
      <c r="BN24" s="159" t="s">
        <v>22</v>
      </c>
      <c r="BO24" s="160">
        <v>5</v>
      </c>
      <c r="BP24" s="160" t="s">
        <v>84</v>
      </c>
      <c r="BQ24" s="278">
        <v>46418</v>
      </c>
      <c r="BR24" s="161" t="s">
        <v>22</v>
      </c>
      <c r="BS24" s="160">
        <v>5</v>
      </c>
      <c r="BT24" s="160" t="s">
        <v>84</v>
      </c>
      <c r="BU24" s="278">
        <v>46783</v>
      </c>
      <c r="BV24" s="290"/>
    </row>
    <row r="25" spans="1:81" s="15" customFormat="1" ht="22.9" hidden="1" customHeight="1">
      <c r="A25" s="53">
        <v>16</v>
      </c>
      <c r="B25" s="77" t="s">
        <v>211</v>
      </c>
      <c r="C25" s="176" t="s">
        <v>267</v>
      </c>
      <c r="D25" s="191">
        <v>1082898312</v>
      </c>
      <c r="E25" t="s">
        <v>298</v>
      </c>
      <c r="F25" s="194" t="s">
        <v>263</v>
      </c>
      <c r="G25" s="194"/>
      <c r="H25" s="196">
        <v>46491</v>
      </c>
      <c r="I25" s="184" t="s">
        <v>353</v>
      </c>
      <c r="J25" s="161" t="s">
        <v>22</v>
      </c>
      <c r="K25" s="159">
        <v>5</v>
      </c>
      <c r="L25" s="160" t="s">
        <v>84</v>
      </c>
      <c r="M25" s="155" t="s">
        <v>316</v>
      </c>
      <c r="N25" s="152" t="s">
        <v>30</v>
      </c>
      <c r="O25" s="151" t="s">
        <v>30</v>
      </c>
      <c r="P25" s="151" t="s">
        <v>30</v>
      </c>
      <c r="Q25" s="188" t="s">
        <v>30</v>
      </c>
      <c r="R25" s="161" t="s">
        <v>22</v>
      </c>
      <c r="S25" s="166">
        <v>5</v>
      </c>
      <c r="T25" s="166" t="s">
        <v>84</v>
      </c>
      <c r="U25" s="155" t="s">
        <v>316</v>
      </c>
      <c r="V25" s="152" t="s">
        <v>30</v>
      </c>
      <c r="W25" s="151" t="s">
        <v>30</v>
      </c>
      <c r="X25" s="151" t="s">
        <v>30</v>
      </c>
      <c r="Y25" s="188" t="s">
        <v>30</v>
      </c>
      <c r="Z25" s="161" t="s">
        <v>22</v>
      </c>
      <c r="AA25" s="160">
        <v>5</v>
      </c>
      <c r="AB25" s="160" t="s">
        <v>84</v>
      </c>
      <c r="AC25" s="155" t="s">
        <v>70</v>
      </c>
      <c r="AD25" s="159" t="s">
        <v>22</v>
      </c>
      <c r="AE25" s="160">
        <v>5</v>
      </c>
      <c r="AF25" s="160" t="s">
        <v>84</v>
      </c>
      <c r="AG25" s="169" t="s">
        <v>71</v>
      </c>
      <c r="AH25" s="157" t="s">
        <v>30</v>
      </c>
      <c r="AI25" s="151" t="s">
        <v>30</v>
      </c>
      <c r="AJ25" s="151" t="s">
        <v>30</v>
      </c>
      <c r="AK25" s="158" t="s">
        <v>30</v>
      </c>
      <c r="AL25" s="53"/>
      <c r="AM25" s="97"/>
      <c r="AN25" s="97"/>
      <c r="AO25" s="155"/>
      <c r="AP25" s="212"/>
      <c r="AQ25" s="97"/>
      <c r="AR25" s="97"/>
      <c r="AS25" s="170"/>
      <c r="AT25" s="247"/>
      <c r="AU25" s="92"/>
      <c r="AV25" s="92"/>
      <c r="AW25" s="170"/>
      <c r="AX25" s="161" t="s">
        <v>22</v>
      </c>
      <c r="AY25" s="160">
        <v>5</v>
      </c>
      <c r="AZ25" s="160" t="s">
        <v>84</v>
      </c>
      <c r="BA25" s="154">
        <v>46860</v>
      </c>
      <c r="BB25" s="152" t="s">
        <v>30</v>
      </c>
      <c r="BC25" s="151" t="s">
        <v>30</v>
      </c>
      <c r="BD25" s="151" t="s">
        <v>30</v>
      </c>
      <c r="BE25" s="204">
        <v>46482</v>
      </c>
      <c r="BF25" s="157" t="s">
        <v>30</v>
      </c>
      <c r="BG25" s="151" t="s">
        <v>30</v>
      </c>
      <c r="BH25" s="151" t="s">
        <v>30</v>
      </c>
      <c r="BI25" s="270">
        <v>47632</v>
      </c>
      <c r="BJ25" s="161" t="s">
        <v>22</v>
      </c>
      <c r="BK25" s="160">
        <v>5</v>
      </c>
      <c r="BL25" s="160" t="s">
        <v>84</v>
      </c>
      <c r="BM25" s="170" t="s">
        <v>70</v>
      </c>
      <c r="BN25" s="159" t="s">
        <v>22</v>
      </c>
      <c r="BO25" s="160">
        <v>5</v>
      </c>
      <c r="BP25" s="160" t="s">
        <v>84</v>
      </c>
      <c r="BQ25" s="154">
        <v>46460</v>
      </c>
      <c r="BR25" s="157" t="s">
        <v>30</v>
      </c>
      <c r="BS25" s="151" t="s">
        <v>30</v>
      </c>
      <c r="BT25" s="151" t="s">
        <v>30</v>
      </c>
      <c r="BU25" s="178">
        <v>46416</v>
      </c>
      <c r="BV25" s="99"/>
    </row>
    <row r="26" spans="1:81" s="291" customFormat="1" ht="22.9" customHeight="1">
      <c r="A26" s="268">
        <v>17</v>
      </c>
      <c r="B26" s="77" t="s">
        <v>211</v>
      </c>
      <c r="C26" s="176" t="s">
        <v>269</v>
      </c>
      <c r="D26" s="191">
        <v>83168382</v>
      </c>
      <c r="E26" s="276" t="s">
        <v>301</v>
      </c>
      <c r="F26" s="194" t="s">
        <v>235</v>
      </c>
      <c r="G26" s="194"/>
      <c r="H26" s="288">
        <v>46228</v>
      </c>
      <c r="I26" s="282" t="s">
        <v>185</v>
      </c>
      <c r="J26" s="161" t="s">
        <v>22</v>
      </c>
      <c r="K26" s="159">
        <v>5</v>
      </c>
      <c r="L26" s="160" t="s">
        <v>84</v>
      </c>
      <c r="M26" s="155" t="s">
        <v>74</v>
      </c>
      <c r="N26" s="172" t="s">
        <v>30</v>
      </c>
      <c r="O26" s="166" t="s">
        <v>30</v>
      </c>
      <c r="P26" s="166" t="s">
        <v>30</v>
      </c>
      <c r="Q26" s="282" t="s">
        <v>30</v>
      </c>
      <c r="R26" s="161" t="s">
        <v>22</v>
      </c>
      <c r="S26" s="160">
        <v>5</v>
      </c>
      <c r="T26" s="166" t="s">
        <v>84</v>
      </c>
      <c r="U26" s="155" t="s">
        <v>74</v>
      </c>
      <c r="V26" s="172" t="s">
        <v>30</v>
      </c>
      <c r="W26" s="166" t="s">
        <v>30</v>
      </c>
      <c r="X26" s="166" t="s">
        <v>30</v>
      </c>
      <c r="Y26" s="282" t="s">
        <v>30</v>
      </c>
      <c r="Z26" s="161" t="s">
        <v>22</v>
      </c>
      <c r="AA26" s="160">
        <v>5</v>
      </c>
      <c r="AB26" s="160" t="s">
        <v>84</v>
      </c>
      <c r="AC26" s="155" t="s">
        <v>70</v>
      </c>
      <c r="AD26" s="159" t="s">
        <v>22</v>
      </c>
      <c r="AE26" s="160">
        <v>5</v>
      </c>
      <c r="AF26" s="160" t="s">
        <v>84</v>
      </c>
      <c r="AG26" s="169" t="s">
        <v>71</v>
      </c>
      <c r="AH26" s="161" t="s">
        <v>22</v>
      </c>
      <c r="AI26" s="160">
        <v>5</v>
      </c>
      <c r="AJ26" s="160" t="s">
        <v>84</v>
      </c>
      <c r="AK26" s="170" t="s">
        <v>75</v>
      </c>
      <c r="AL26" s="168"/>
      <c r="AM26" s="160"/>
      <c r="AN26" s="167"/>
      <c r="AO26" s="155"/>
      <c r="AP26" s="161"/>
      <c r="AQ26" s="165"/>
      <c r="AR26" s="160"/>
      <c r="AS26" s="170"/>
      <c r="AT26" s="161"/>
      <c r="AU26" s="160"/>
      <c r="AV26" s="160"/>
      <c r="AW26" s="170"/>
      <c r="AX26" s="161"/>
      <c r="AY26" s="160"/>
      <c r="AZ26" s="160"/>
      <c r="BA26" s="170" t="s">
        <v>78</v>
      </c>
      <c r="BB26" s="172" t="s">
        <v>30</v>
      </c>
      <c r="BC26" s="166" t="s">
        <v>30</v>
      </c>
      <c r="BD26" s="166" t="s">
        <v>30</v>
      </c>
      <c r="BE26" s="171">
        <v>46677</v>
      </c>
      <c r="BF26" s="161" t="s">
        <v>22</v>
      </c>
      <c r="BG26" s="160">
        <v>5</v>
      </c>
      <c r="BH26" s="160" t="s">
        <v>84</v>
      </c>
      <c r="BI26" s="279">
        <v>47912</v>
      </c>
      <c r="BJ26" s="210" t="s">
        <v>30</v>
      </c>
      <c r="BK26" s="166" t="s">
        <v>30</v>
      </c>
      <c r="BL26" s="166" t="s">
        <v>30</v>
      </c>
      <c r="BM26" s="166" t="s">
        <v>30</v>
      </c>
      <c r="BN26" s="159" t="s">
        <v>22</v>
      </c>
      <c r="BO26" s="160">
        <v>5</v>
      </c>
      <c r="BP26" s="160" t="s">
        <v>84</v>
      </c>
      <c r="BQ26" s="278">
        <v>46412</v>
      </c>
      <c r="BR26" s="210" t="s">
        <v>30</v>
      </c>
      <c r="BS26" s="166" t="s">
        <v>30</v>
      </c>
      <c r="BT26" s="166" t="s">
        <v>30</v>
      </c>
      <c r="BU26" s="278">
        <v>46417</v>
      </c>
      <c r="BV26" s="290"/>
    </row>
    <row r="27" spans="1:81" s="15" customFormat="1" ht="22.9" hidden="1" customHeight="1">
      <c r="A27" s="53">
        <v>18</v>
      </c>
      <c r="B27" s="77" t="s">
        <v>211</v>
      </c>
      <c r="C27" s="177" t="s">
        <v>261</v>
      </c>
      <c r="D27" s="191">
        <v>1075213439</v>
      </c>
      <c r="E27" t="s">
        <v>358</v>
      </c>
      <c r="F27" s="194" t="s">
        <v>250</v>
      </c>
      <c r="G27" s="194"/>
      <c r="H27" s="183">
        <v>46415</v>
      </c>
      <c r="I27" s="184" t="s">
        <v>353</v>
      </c>
      <c r="J27" s="161" t="s">
        <v>22</v>
      </c>
      <c r="K27" s="159">
        <v>5</v>
      </c>
      <c r="L27" s="166" t="s">
        <v>84</v>
      </c>
      <c r="M27" s="155" t="s">
        <v>70</v>
      </c>
      <c r="N27" s="159" t="s">
        <v>22</v>
      </c>
      <c r="O27" s="162">
        <v>5</v>
      </c>
      <c r="P27" s="167" t="s">
        <v>84</v>
      </c>
      <c r="Q27" s="249" t="s">
        <v>70</v>
      </c>
      <c r="R27" s="161" t="s">
        <v>22</v>
      </c>
      <c r="S27" s="186">
        <v>5</v>
      </c>
      <c r="T27" s="160" t="s">
        <v>84</v>
      </c>
      <c r="U27" s="155" t="s">
        <v>70</v>
      </c>
      <c r="V27" s="152" t="s">
        <v>30</v>
      </c>
      <c r="W27" s="151" t="s">
        <v>30</v>
      </c>
      <c r="X27" s="151" t="s">
        <v>30</v>
      </c>
      <c r="Y27" s="188" t="s">
        <v>30</v>
      </c>
      <c r="Z27" s="161" t="s">
        <v>22</v>
      </c>
      <c r="AA27" s="160">
        <v>5</v>
      </c>
      <c r="AB27" s="160" t="s">
        <v>84</v>
      </c>
      <c r="AC27" s="155" t="s">
        <v>70</v>
      </c>
      <c r="AD27" s="159" t="s">
        <v>22</v>
      </c>
      <c r="AE27" s="160">
        <v>5</v>
      </c>
      <c r="AF27" s="160" t="s">
        <v>84</v>
      </c>
      <c r="AG27" s="169" t="s">
        <v>71</v>
      </c>
      <c r="AH27" s="157" t="s">
        <v>30</v>
      </c>
      <c r="AI27" s="151" t="s">
        <v>30</v>
      </c>
      <c r="AJ27" s="151" t="s">
        <v>30</v>
      </c>
      <c r="AK27" s="158" t="s">
        <v>30</v>
      </c>
      <c r="AL27" s="101"/>
      <c r="AM27" s="166"/>
      <c r="AN27" s="100"/>
      <c r="AO27" s="155"/>
      <c r="AP27" s="206"/>
      <c r="AQ27" s="166"/>
      <c r="AR27" s="95"/>
      <c r="AS27" s="170"/>
      <c r="AT27" s="206"/>
      <c r="AU27" s="166"/>
      <c r="AV27" s="95"/>
      <c r="AW27" s="170"/>
      <c r="AX27" s="161" t="s">
        <v>22</v>
      </c>
      <c r="AY27" s="160">
        <v>5</v>
      </c>
      <c r="AZ27" s="160" t="s">
        <v>84</v>
      </c>
      <c r="BA27" s="154">
        <v>46867</v>
      </c>
      <c r="BB27" s="152" t="s">
        <v>30</v>
      </c>
      <c r="BC27" s="151" t="s">
        <v>30</v>
      </c>
      <c r="BD27" s="151" t="s">
        <v>30</v>
      </c>
      <c r="BE27" s="188" t="s">
        <v>30</v>
      </c>
      <c r="BF27" s="157" t="s">
        <v>30</v>
      </c>
      <c r="BG27" s="151" t="s">
        <v>30</v>
      </c>
      <c r="BH27" s="151" t="s">
        <v>30</v>
      </c>
      <c r="BI27" s="188" t="s">
        <v>30</v>
      </c>
      <c r="BJ27" s="157" t="s">
        <v>30</v>
      </c>
      <c r="BK27" s="151" t="s">
        <v>30</v>
      </c>
      <c r="BL27" s="151" t="s">
        <v>30</v>
      </c>
      <c r="BM27" s="170" t="s">
        <v>77</v>
      </c>
      <c r="BN27" s="159"/>
      <c r="BO27" s="160"/>
      <c r="BP27" s="160"/>
      <c r="BQ27" s="170" t="s">
        <v>76</v>
      </c>
      <c r="BR27" s="157" t="s">
        <v>30</v>
      </c>
      <c r="BS27" s="151" t="s">
        <v>30</v>
      </c>
      <c r="BT27" s="151" t="s">
        <v>30</v>
      </c>
      <c r="BU27" s="178">
        <v>46434</v>
      </c>
      <c r="BV27" s="99"/>
    </row>
    <row r="28" spans="1:81" s="15" customFormat="1" ht="22.9" hidden="1" customHeight="1">
      <c r="A28" s="53">
        <v>19</v>
      </c>
      <c r="B28" s="77" t="s">
        <v>211</v>
      </c>
      <c r="C28" s="177" t="s">
        <v>259</v>
      </c>
      <c r="D28" s="191">
        <v>1233890099</v>
      </c>
      <c r="E28" t="s">
        <v>292</v>
      </c>
      <c r="F28" s="194" t="s">
        <v>260</v>
      </c>
      <c r="G28" s="194"/>
      <c r="H28" s="183">
        <v>46409</v>
      </c>
      <c r="I28" s="184" t="s">
        <v>353</v>
      </c>
      <c r="J28" s="161" t="s">
        <v>22</v>
      </c>
      <c r="K28" s="159">
        <v>5</v>
      </c>
      <c r="L28" s="160" t="s">
        <v>84</v>
      </c>
      <c r="M28" s="155" t="s">
        <v>69</v>
      </c>
      <c r="N28" s="159" t="s">
        <v>22</v>
      </c>
      <c r="O28" s="160">
        <v>5</v>
      </c>
      <c r="P28" s="167" t="s">
        <v>84</v>
      </c>
      <c r="Q28" s="249" t="s">
        <v>69</v>
      </c>
      <c r="R28" s="161" t="s">
        <v>22</v>
      </c>
      <c r="S28" s="160">
        <v>4</v>
      </c>
      <c r="T28" s="160" t="s">
        <v>84</v>
      </c>
      <c r="U28" s="155" t="s">
        <v>69</v>
      </c>
      <c r="V28" s="152" t="s">
        <v>30</v>
      </c>
      <c r="W28" s="151" t="s">
        <v>30</v>
      </c>
      <c r="X28" s="151" t="s">
        <v>30</v>
      </c>
      <c r="Y28" s="188" t="s">
        <v>30</v>
      </c>
      <c r="Z28" s="161" t="s">
        <v>22</v>
      </c>
      <c r="AA28" s="160">
        <v>5</v>
      </c>
      <c r="AB28" s="160" t="s">
        <v>84</v>
      </c>
      <c r="AC28" s="155" t="s">
        <v>70</v>
      </c>
      <c r="AD28" s="159" t="s">
        <v>22</v>
      </c>
      <c r="AE28" s="160" t="s">
        <v>329</v>
      </c>
      <c r="AF28" s="160" t="s">
        <v>84</v>
      </c>
      <c r="AG28" s="169" t="s">
        <v>71</v>
      </c>
      <c r="AH28" s="157" t="s">
        <v>30</v>
      </c>
      <c r="AI28" s="151" t="s">
        <v>30</v>
      </c>
      <c r="AJ28" s="151" t="s">
        <v>30</v>
      </c>
      <c r="AK28" s="158" t="s">
        <v>30</v>
      </c>
      <c r="AL28" s="101"/>
      <c r="AM28" s="166"/>
      <c r="AN28" s="100"/>
      <c r="AO28" s="155"/>
      <c r="AP28" s="206"/>
      <c r="AQ28" s="166"/>
      <c r="AR28" s="95"/>
      <c r="AS28" s="170"/>
      <c r="AT28" s="206"/>
      <c r="AU28" s="166"/>
      <c r="AV28" s="95"/>
      <c r="AW28" s="170"/>
      <c r="AX28" s="157" t="s">
        <v>30</v>
      </c>
      <c r="AY28" s="151" t="s">
        <v>30</v>
      </c>
      <c r="AZ28" s="151" t="s">
        <v>30</v>
      </c>
      <c r="BA28" s="158" t="s">
        <v>30</v>
      </c>
      <c r="BB28" s="152" t="s">
        <v>30</v>
      </c>
      <c r="BC28" s="151" t="s">
        <v>30</v>
      </c>
      <c r="BD28" s="151" t="s">
        <v>30</v>
      </c>
      <c r="BE28" s="188" t="s">
        <v>30</v>
      </c>
      <c r="BF28" s="157" t="s">
        <v>30</v>
      </c>
      <c r="BG28" s="151" t="s">
        <v>30</v>
      </c>
      <c r="BH28" s="151" t="s">
        <v>30</v>
      </c>
      <c r="BI28" s="188" t="s">
        <v>30</v>
      </c>
      <c r="BJ28" s="157" t="s">
        <v>30</v>
      </c>
      <c r="BK28" s="151" t="s">
        <v>30</v>
      </c>
      <c r="BL28" s="151" t="s">
        <v>30</v>
      </c>
      <c r="BM28" s="170" t="s">
        <v>77</v>
      </c>
      <c r="BN28" s="159" t="s">
        <v>22</v>
      </c>
      <c r="BO28" s="160" t="s">
        <v>329</v>
      </c>
      <c r="BP28" s="160" t="s">
        <v>84</v>
      </c>
      <c r="BQ28" s="179">
        <v>46410</v>
      </c>
      <c r="BR28" s="161" t="s">
        <v>22</v>
      </c>
      <c r="BS28" s="160" t="s">
        <v>329</v>
      </c>
      <c r="BT28" s="160" t="s">
        <v>84</v>
      </c>
      <c r="BU28" s="178">
        <v>46775</v>
      </c>
      <c r="BV28" s="99"/>
    </row>
    <row r="29" spans="1:81" s="15" customFormat="1" ht="22.9" hidden="1" customHeight="1">
      <c r="A29" s="53">
        <v>20</v>
      </c>
      <c r="B29" s="77" t="s">
        <v>211</v>
      </c>
      <c r="C29" s="176" t="s">
        <v>238</v>
      </c>
      <c r="D29" s="191">
        <v>1018408231</v>
      </c>
      <c r="E29" t="s">
        <v>297</v>
      </c>
      <c r="F29" s="194" t="s">
        <v>242</v>
      </c>
      <c r="G29" s="194"/>
      <c r="H29" s="183">
        <v>46219</v>
      </c>
      <c r="I29" s="184" t="s">
        <v>353</v>
      </c>
      <c r="J29" s="161" t="s">
        <v>22</v>
      </c>
      <c r="K29" s="172">
        <v>5</v>
      </c>
      <c r="L29" s="160" t="s">
        <v>84</v>
      </c>
      <c r="M29" s="155" t="s">
        <v>69</v>
      </c>
      <c r="N29" s="152" t="s">
        <v>30</v>
      </c>
      <c r="O29" s="151" t="s">
        <v>30</v>
      </c>
      <c r="P29" s="151" t="s">
        <v>30</v>
      </c>
      <c r="Q29" s="188" t="s">
        <v>30</v>
      </c>
      <c r="R29" s="161" t="s">
        <v>22</v>
      </c>
      <c r="S29" s="160">
        <v>5</v>
      </c>
      <c r="T29" s="160" t="s">
        <v>84</v>
      </c>
      <c r="U29" s="155" t="s">
        <v>69</v>
      </c>
      <c r="V29" s="152" t="s">
        <v>30</v>
      </c>
      <c r="W29" s="151" t="s">
        <v>30</v>
      </c>
      <c r="X29" s="151" t="s">
        <v>30</v>
      </c>
      <c r="Y29" s="188" t="s">
        <v>30</v>
      </c>
      <c r="Z29" s="161" t="s">
        <v>22</v>
      </c>
      <c r="AA29" s="160">
        <v>5</v>
      </c>
      <c r="AB29" s="160" t="s">
        <v>84</v>
      </c>
      <c r="AC29" s="155" t="s">
        <v>70</v>
      </c>
      <c r="AD29" s="159" t="s">
        <v>22</v>
      </c>
      <c r="AE29" s="160">
        <v>5</v>
      </c>
      <c r="AF29" s="160" t="s">
        <v>84</v>
      </c>
      <c r="AG29" s="169" t="s">
        <v>71</v>
      </c>
      <c r="AH29" s="157" t="s">
        <v>30</v>
      </c>
      <c r="AI29" s="151" t="s">
        <v>30</v>
      </c>
      <c r="AJ29" s="151" t="s">
        <v>30</v>
      </c>
      <c r="AK29" s="158" t="s">
        <v>30</v>
      </c>
      <c r="AL29" s="53"/>
      <c r="AM29" s="92"/>
      <c r="AN29" s="93"/>
      <c r="AO29" s="155"/>
      <c r="AP29" s="212"/>
      <c r="AQ29" s="92"/>
      <c r="AR29" s="92"/>
      <c r="AS29" s="170"/>
      <c r="AT29" s="212"/>
      <c r="AU29" s="92"/>
      <c r="AV29" s="92"/>
      <c r="AW29" s="170"/>
      <c r="AX29" s="157" t="s">
        <v>30</v>
      </c>
      <c r="AY29" s="151" t="s">
        <v>30</v>
      </c>
      <c r="AZ29" s="151" t="s">
        <v>30</v>
      </c>
      <c r="BA29" s="154">
        <v>46704</v>
      </c>
      <c r="BB29" s="152" t="s">
        <v>30</v>
      </c>
      <c r="BC29" s="151" t="s">
        <v>30</v>
      </c>
      <c r="BD29" s="151" t="s">
        <v>30</v>
      </c>
      <c r="BE29" s="204">
        <v>46540</v>
      </c>
      <c r="BF29" s="157" t="s">
        <v>30</v>
      </c>
      <c r="BG29" s="151" t="s">
        <v>30</v>
      </c>
      <c r="BH29" s="151" t="s">
        <v>30</v>
      </c>
      <c r="BI29" s="151" t="s">
        <v>30</v>
      </c>
      <c r="BJ29" s="157" t="s">
        <v>30</v>
      </c>
      <c r="BK29" s="151" t="s">
        <v>30</v>
      </c>
      <c r="BL29" s="151" t="s">
        <v>30</v>
      </c>
      <c r="BM29" s="170" t="s">
        <v>69</v>
      </c>
      <c r="BN29" s="159" t="s">
        <v>22</v>
      </c>
      <c r="BO29" s="160">
        <v>5</v>
      </c>
      <c r="BP29" s="160" t="s">
        <v>84</v>
      </c>
      <c r="BQ29" s="179">
        <v>46411</v>
      </c>
      <c r="BR29" s="161" t="s">
        <v>22</v>
      </c>
      <c r="BS29" s="160" t="s">
        <v>329</v>
      </c>
      <c r="BT29" s="160" t="s">
        <v>84</v>
      </c>
      <c r="BU29" s="178">
        <v>46776</v>
      </c>
      <c r="BV29" s="99"/>
    </row>
    <row r="30" spans="1:81" s="15" customFormat="1" ht="22.9" hidden="1" customHeight="1">
      <c r="A30" s="53">
        <v>21</v>
      </c>
      <c r="B30" s="77" t="s">
        <v>211</v>
      </c>
      <c r="C30" s="177" t="s">
        <v>246</v>
      </c>
      <c r="D30" s="191">
        <v>1017222178</v>
      </c>
      <c r="E30" t="s">
        <v>284</v>
      </c>
      <c r="F30" s="194" t="s">
        <v>237</v>
      </c>
      <c r="G30" s="194"/>
      <c r="H30" s="253">
        <v>46367</v>
      </c>
      <c r="I30" s="184" t="s">
        <v>353</v>
      </c>
      <c r="J30" s="161" t="s">
        <v>22</v>
      </c>
      <c r="K30" s="159" t="s">
        <v>329</v>
      </c>
      <c r="L30" s="160" t="s">
        <v>84</v>
      </c>
      <c r="M30" s="155" t="s">
        <v>70</v>
      </c>
      <c r="N30" s="152" t="s">
        <v>30</v>
      </c>
      <c r="O30" s="151" t="s">
        <v>30</v>
      </c>
      <c r="P30" s="151" t="s">
        <v>30</v>
      </c>
      <c r="Q30" s="188" t="s">
        <v>30</v>
      </c>
      <c r="R30" s="161" t="s">
        <v>22</v>
      </c>
      <c r="S30" s="160" t="s">
        <v>329</v>
      </c>
      <c r="T30" s="160" t="s">
        <v>84</v>
      </c>
      <c r="U30" s="155" t="s">
        <v>70</v>
      </c>
      <c r="V30" s="152" t="s">
        <v>30</v>
      </c>
      <c r="W30" s="151" t="s">
        <v>30</v>
      </c>
      <c r="X30" s="151" t="s">
        <v>30</v>
      </c>
      <c r="Y30" s="188" t="s">
        <v>30</v>
      </c>
      <c r="Z30" s="161" t="s">
        <v>22</v>
      </c>
      <c r="AA30" s="160">
        <v>5</v>
      </c>
      <c r="AB30" s="160" t="s">
        <v>84</v>
      </c>
      <c r="AC30" s="155" t="s">
        <v>70</v>
      </c>
      <c r="AD30" s="159" t="s">
        <v>22</v>
      </c>
      <c r="AE30" s="160">
        <v>5</v>
      </c>
      <c r="AF30" s="160" t="s">
        <v>84</v>
      </c>
      <c r="AG30" s="169" t="s">
        <v>71</v>
      </c>
      <c r="AH30" s="157" t="s">
        <v>30</v>
      </c>
      <c r="AI30" s="151" t="s">
        <v>30</v>
      </c>
      <c r="AJ30" s="151" t="s">
        <v>30</v>
      </c>
      <c r="AK30" s="158" t="s">
        <v>30</v>
      </c>
      <c r="AL30" s="168"/>
      <c r="AM30" s="166"/>
      <c r="AN30" s="167"/>
      <c r="AO30" s="155"/>
      <c r="AP30" s="161"/>
      <c r="AQ30" s="160"/>
      <c r="AR30" s="160"/>
      <c r="AS30" s="170"/>
      <c r="AT30" s="161"/>
      <c r="AU30" s="160"/>
      <c r="AV30" s="160"/>
      <c r="AW30" s="170"/>
      <c r="AX30" s="157" t="s">
        <v>30</v>
      </c>
      <c r="AY30" s="151" t="s">
        <v>30</v>
      </c>
      <c r="AZ30" s="151" t="s">
        <v>30</v>
      </c>
      <c r="BA30" s="158" t="s">
        <v>30</v>
      </c>
      <c r="BB30" s="152" t="s">
        <v>30</v>
      </c>
      <c r="BC30" s="151" t="s">
        <v>30</v>
      </c>
      <c r="BD30" s="151" t="s">
        <v>30</v>
      </c>
      <c r="BE30" s="188" t="s">
        <v>30</v>
      </c>
      <c r="BF30" s="157" t="s">
        <v>30</v>
      </c>
      <c r="BG30" s="151" t="s">
        <v>30</v>
      </c>
      <c r="BH30" s="151" t="s">
        <v>30</v>
      </c>
      <c r="BI30" s="188" t="s">
        <v>30</v>
      </c>
      <c r="BJ30" s="157" t="s">
        <v>30</v>
      </c>
      <c r="BK30" s="151" t="s">
        <v>30</v>
      </c>
      <c r="BL30" s="151" t="s">
        <v>30</v>
      </c>
      <c r="BM30" s="170" t="s">
        <v>77</v>
      </c>
      <c r="BN30" s="159" t="s">
        <v>22</v>
      </c>
      <c r="BO30" s="160">
        <v>5</v>
      </c>
      <c r="BP30" s="160" t="s">
        <v>84</v>
      </c>
      <c r="BQ30" s="179">
        <v>46416</v>
      </c>
      <c r="BR30" s="157" t="s">
        <v>30</v>
      </c>
      <c r="BS30" s="151" t="s">
        <v>30</v>
      </c>
      <c r="BT30" s="151" t="s">
        <v>30</v>
      </c>
      <c r="BU30" s="178">
        <v>46418</v>
      </c>
      <c r="BV30" s="99"/>
    </row>
    <row r="31" spans="1:81" s="15" customFormat="1" ht="22.9" hidden="1" customHeight="1">
      <c r="A31" s="53">
        <v>22</v>
      </c>
      <c r="B31" s="77" t="s">
        <v>211</v>
      </c>
      <c r="C31" s="176" t="s">
        <v>244</v>
      </c>
      <c r="D31" s="191">
        <v>1015997405</v>
      </c>
      <c r="E31" t="s">
        <v>282</v>
      </c>
      <c r="F31" s="194" t="s">
        <v>235</v>
      </c>
      <c r="G31" s="194"/>
      <c r="H31" s="183">
        <v>46397</v>
      </c>
      <c r="I31" s="184" t="s">
        <v>353</v>
      </c>
      <c r="J31" s="161" t="s">
        <v>22</v>
      </c>
      <c r="K31" s="159" t="s">
        <v>329</v>
      </c>
      <c r="L31" s="160" t="s">
        <v>84</v>
      </c>
      <c r="M31" s="155" t="s">
        <v>70</v>
      </c>
      <c r="N31" s="152" t="s">
        <v>30</v>
      </c>
      <c r="O31" s="151" t="s">
        <v>30</v>
      </c>
      <c r="P31" s="151" t="s">
        <v>30</v>
      </c>
      <c r="Q31" s="188" t="s">
        <v>30</v>
      </c>
      <c r="R31" s="161" t="s">
        <v>22</v>
      </c>
      <c r="S31" s="160">
        <v>4</v>
      </c>
      <c r="T31" s="160" t="s">
        <v>84</v>
      </c>
      <c r="U31" s="155" t="s">
        <v>70</v>
      </c>
      <c r="V31" s="152" t="s">
        <v>30</v>
      </c>
      <c r="W31" s="151" t="s">
        <v>30</v>
      </c>
      <c r="X31" s="151" t="s">
        <v>30</v>
      </c>
      <c r="Y31" s="188" t="s">
        <v>30</v>
      </c>
      <c r="Z31" s="161" t="s">
        <v>22</v>
      </c>
      <c r="AA31" s="160">
        <v>5</v>
      </c>
      <c r="AB31" s="160" t="s">
        <v>84</v>
      </c>
      <c r="AC31" s="155" t="s">
        <v>70</v>
      </c>
      <c r="AD31" s="159" t="s">
        <v>22</v>
      </c>
      <c r="AE31" s="160">
        <v>5</v>
      </c>
      <c r="AF31" s="160" t="s">
        <v>84</v>
      </c>
      <c r="AG31" s="169" t="s">
        <v>71</v>
      </c>
      <c r="AH31" s="157" t="s">
        <v>30</v>
      </c>
      <c r="AI31" s="151" t="s">
        <v>30</v>
      </c>
      <c r="AJ31" s="151" t="s">
        <v>30</v>
      </c>
      <c r="AK31" s="158" t="s">
        <v>30</v>
      </c>
      <c r="AL31" s="168"/>
      <c r="AM31" s="166"/>
      <c r="AN31" s="167"/>
      <c r="AO31" s="155"/>
      <c r="AP31" s="161"/>
      <c r="AQ31" s="160"/>
      <c r="AR31" s="160"/>
      <c r="AS31" s="170"/>
      <c r="AT31" s="161"/>
      <c r="AU31" s="166"/>
      <c r="AV31" s="160"/>
      <c r="AW31" s="170"/>
      <c r="AX31" s="157" t="s">
        <v>30</v>
      </c>
      <c r="AY31" s="151" t="s">
        <v>30</v>
      </c>
      <c r="AZ31" s="151" t="s">
        <v>30</v>
      </c>
      <c r="BA31" s="154">
        <v>46655</v>
      </c>
      <c r="BB31" s="152" t="s">
        <v>30</v>
      </c>
      <c r="BC31" s="151" t="s">
        <v>30</v>
      </c>
      <c r="BD31" s="151" t="s">
        <v>30</v>
      </c>
      <c r="BE31" s="204">
        <v>46461</v>
      </c>
      <c r="BF31" s="157" t="s">
        <v>30</v>
      </c>
      <c r="BG31" s="151" t="s">
        <v>30</v>
      </c>
      <c r="BH31" s="151" t="s">
        <v>30</v>
      </c>
      <c r="BI31" s="270">
        <v>47660</v>
      </c>
      <c r="BJ31" s="157" t="s">
        <v>30</v>
      </c>
      <c r="BK31" s="151" t="s">
        <v>30</v>
      </c>
      <c r="BL31" s="151" t="s">
        <v>30</v>
      </c>
      <c r="BM31" s="170" t="s">
        <v>76</v>
      </c>
      <c r="BN31" s="159" t="s">
        <v>22</v>
      </c>
      <c r="BO31" s="160" t="s">
        <v>329</v>
      </c>
      <c r="BP31" s="160" t="s">
        <v>84</v>
      </c>
      <c r="BQ31" s="178">
        <v>46413</v>
      </c>
      <c r="BR31" s="157" t="s">
        <v>30</v>
      </c>
      <c r="BS31" s="151" t="s">
        <v>30</v>
      </c>
      <c r="BT31" s="151" t="s">
        <v>30</v>
      </c>
      <c r="BU31" s="178">
        <v>46390</v>
      </c>
      <c r="BV31" s="99"/>
    </row>
    <row r="32" spans="1:81" s="15" customFormat="1" ht="22.9" hidden="1" customHeight="1">
      <c r="A32" s="53">
        <v>23</v>
      </c>
      <c r="B32" s="77" t="s">
        <v>211</v>
      </c>
      <c r="C32" s="177" t="s">
        <v>266</v>
      </c>
      <c r="D32" s="191">
        <v>1075276712</v>
      </c>
      <c r="E32" t="s">
        <v>295</v>
      </c>
      <c r="F32" s="194" t="s">
        <v>250</v>
      </c>
      <c r="G32" s="194"/>
      <c r="H32" s="183">
        <v>46414</v>
      </c>
      <c r="I32" s="184" t="s">
        <v>353</v>
      </c>
      <c r="J32" s="161" t="s">
        <v>22</v>
      </c>
      <c r="K32" s="172" t="s">
        <v>329</v>
      </c>
      <c r="L32" s="160" t="s">
        <v>84</v>
      </c>
      <c r="M32" s="155" t="s">
        <v>69</v>
      </c>
      <c r="N32" s="159" t="s">
        <v>22</v>
      </c>
      <c r="O32" s="160">
        <v>5</v>
      </c>
      <c r="P32" s="167" t="s">
        <v>84</v>
      </c>
      <c r="Q32" s="249" t="s">
        <v>69</v>
      </c>
      <c r="R32" s="161" t="s">
        <v>22</v>
      </c>
      <c r="S32" s="160" t="s">
        <v>329</v>
      </c>
      <c r="T32" s="160" t="s">
        <v>84</v>
      </c>
      <c r="U32" s="155" t="s">
        <v>69</v>
      </c>
      <c r="V32" s="164" t="s">
        <v>22</v>
      </c>
      <c r="W32" s="164">
        <v>5</v>
      </c>
      <c r="X32" s="173" t="s">
        <v>84</v>
      </c>
      <c r="Y32" s="202" t="s">
        <v>72</v>
      </c>
      <c r="Z32" s="161" t="s">
        <v>22</v>
      </c>
      <c r="AA32" s="160">
        <v>5</v>
      </c>
      <c r="AB32" s="160" t="s">
        <v>84</v>
      </c>
      <c r="AC32" s="155" t="s">
        <v>70</v>
      </c>
      <c r="AD32" s="159" t="s">
        <v>22</v>
      </c>
      <c r="AE32" s="160">
        <v>5</v>
      </c>
      <c r="AF32" s="160" t="s">
        <v>84</v>
      </c>
      <c r="AG32" s="169" t="s">
        <v>71</v>
      </c>
      <c r="AH32" s="157" t="s">
        <v>30</v>
      </c>
      <c r="AI32" s="151" t="s">
        <v>30</v>
      </c>
      <c r="AJ32" s="151" t="s">
        <v>30</v>
      </c>
      <c r="AK32" s="158" t="s">
        <v>30</v>
      </c>
      <c r="AL32" s="268"/>
      <c r="AM32" s="166"/>
      <c r="AN32" s="173"/>
      <c r="AO32" s="155"/>
      <c r="AP32" s="210"/>
      <c r="AQ32" s="166"/>
      <c r="AR32" s="166"/>
      <c r="AS32" s="170"/>
      <c r="AT32" s="210"/>
      <c r="AU32" s="166"/>
      <c r="AV32" s="166"/>
      <c r="AW32" s="170"/>
      <c r="AX32" s="157" t="s">
        <v>30</v>
      </c>
      <c r="AY32" s="151" t="s">
        <v>30</v>
      </c>
      <c r="AZ32" s="151" t="s">
        <v>30</v>
      </c>
      <c r="BA32" s="158" t="s">
        <v>30</v>
      </c>
      <c r="BB32" s="152" t="s">
        <v>30</v>
      </c>
      <c r="BC32" s="151" t="s">
        <v>30</v>
      </c>
      <c r="BD32" s="151" t="s">
        <v>30</v>
      </c>
      <c r="BE32" s="188" t="s">
        <v>30</v>
      </c>
      <c r="BF32" s="157" t="s">
        <v>30</v>
      </c>
      <c r="BG32" s="151" t="s">
        <v>30</v>
      </c>
      <c r="BH32" s="151" t="s">
        <v>30</v>
      </c>
      <c r="BI32" s="188" t="s">
        <v>30</v>
      </c>
      <c r="BJ32" s="161" t="s">
        <v>22</v>
      </c>
      <c r="BK32" s="160">
        <v>5</v>
      </c>
      <c r="BL32" s="160" t="s">
        <v>84</v>
      </c>
      <c r="BM32" s="170" t="s">
        <v>70</v>
      </c>
      <c r="BN32" s="159" t="s">
        <v>22</v>
      </c>
      <c r="BO32" s="160">
        <v>5</v>
      </c>
      <c r="BP32" s="160" t="s">
        <v>84</v>
      </c>
      <c r="BQ32" s="179">
        <v>46413</v>
      </c>
      <c r="BR32" s="161" t="s">
        <v>22</v>
      </c>
      <c r="BS32" s="160" t="s">
        <v>329</v>
      </c>
      <c r="BT32" s="160" t="s">
        <v>84</v>
      </c>
      <c r="BU32" s="178">
        <v>46778</v>
      </c>
      <c r="BV32" s="99"/>
    </row>
    <row r="33" spans="1:74" s="291" customFormat="1" ht="22.9" hidden="1" customHeight="1">
      <c r="A33" s="268">
        <v>24</v>
      </c>
      <c r="B33" s="77" t="s">
        <v>211</v>
      </c>
      <c r="C33" s="177" t="s">
        <v>275</v>
      </c>
      <c r="D33" s="191">
        <v>53105775</v>
      </c>
      <c r="E33" s="276" t="s">
        <v>307</v>
      </c>
      <c r="F33" s="194" t="s">
        <v>254</v>
      </c>
      <c r="G33" s="194"/>
      <c r="H33" s="183">
        <v>46420</v>
      </c>
      <c r="I33" s="282" t="s">
        <v>396</v>
      </c>
      <c r="J33" s="161" t="s">
        <v>22</v>
      </c>
      <c r="K33" s="172">
        <v>5</v>
      </c>
      <c r="L33" s="160" t="s">
        <v>84</v>
      </c>
      <c r="M33" s="155" t="s">
        <v>70</v>
      </c>
      <c r="N33" s="172" t="s">
        <v>30</v>
      </c>
      <c r="O33" s="166" t="s">
        <v>30</v>
      </c>
      <c r="P33" s="166" t="s">
        <v>30</v>
      </c>
      <c r="Q33" s="282" t="s">
        <v>30</v>
      </c>
      <c r="R33" s="161" t="s">
        <v>22</v>
      </c>
      <c r="S33" s="160" t="s">
        <v>329</v>
      </c>
      <c r="T33" s="160" t="s">
        <v>84</v>
      </c>
      <c r="U33" s="155" t="s">
        <v>70</v>
      </c>
      <c r="V33" s="164" t="s">
        <v>22</v>
      </c>
      <c r="W33" s="164">
        <v>5</v>
      </c>
      <c r="X33" s="173" t="s">
        <v>84</v>
      </c>
      <c r="Y33" s="202" t="s">
        <v>73</v>
      </c>
      <c r="Z33" s="161" t="s">
        <v>22</v>
      </c>
      <c r="AA33" s="160">
        <v>5</v>
      </c>
      <c r="AB33" s="160" t="s">
        <v>84</v>
      </c>
      <c r="AC33" s="155" t="s">
        <v>70</v>
      </c>
      <c r="AD33" s="159" t="s">
        <v>22</v>
      </c>
      <c r="AE33" s="160">
        <v>5</v>
      </c>
      <c r="AF33" s="160" t="s">
        <v>84</v>
      </c>
      <c r="AG33" s="169" t="s">
        <v>71</v>
      </c>
      <c r="AH33" s="161" t="s">
        <v>22</v>
      </c>
      <c r="AI33" s="160">
        <v>4.5</v>
      </c>
      <c r="AJ33" s="160" t="s">
        <v>84</v>
      </c>
      <c r="AK33" s="289" t="s">
        <v>74</v>
      </c>
      <c r="AL33" s="168"/>
      <c r="AM33" s="160"/>
      <c r="AN33" s="167"/>
      <c r="AO33" s="155"/>
      <c r="AP33" s="161"/>
      <c r="AQ33" s="160"/>
      <c r="AR33" s="160"/>
      <c r="AS33" s="170"/>
      <c r="AT33" s="161"/>
      <c r="AU33" s="160"/>
      <c r="AV33" s="160"/>
      <c r="AW33" s="170"/>
      <c r="AX33" s="161" t="s">
        <v>22</v>
      </c>
      <c r="AY33" s="160">
        <v>5</v>
      </c>
      <c r="AZ33" s="160" t="s">
        <v>84</v>
      </c>
      <c r="BA33" s="155">
        <v>46789</v>
      </c>
      <c r="BB33" s="159" t="s">
        <v>22</v>
      </c>
      <c r="BC33" s="160">
        <v>5</v>
      </c>
      <c r="BD33" s="160" t="s">
        <v>84</v>
      </c>
      <c r="BE33" s="171">
        <v>46790</v>
      </c>
      <c r="BF33" s="297" t="s">
        <v>22</v>
      </c>
      <c r="BG33" s="284">
        <v>5</v>
      </c>
      <c r="BH33" s="160" t="s">
        <v>84</v>
      </c>
      <c r="BI33" s="279">
        <v>47954</v>
      </c>
      <c r="BJ33" s="161" t="s">
        <v>22</v>
      </c>
      <c r="BK33" s="160">
        <v>5</v>
      </c>
      <c r="BL33" s="160" t="s">
        <v>84</v>
      </c>
      <c r="BM33" s="175" t="s">
        <v>72</v>
      </c>
      <c r="BN33" s="159" t="s">
        <v>22</v>
      </c>
      <c r="BO33" s="160">
        <v>5</v>
      </c>
      <c r="BP33" s="160" t="s">
        <v>84</v>
      </c>
      <c r="BQ33" s="278">
        <v>46420</v>
      </c>
      <c r="BR33" s="161" t="s">
        <v>22</v>
      </c>
      <c r="BS33" s="160">
        <v>5</v>
      </c>
      <c r="BT33" s="160" t="s">
        <v>84</v>
      </c>
      <c r="BU33" s="278">
        <v>46785</v>
      </c>
      <c r="BV33" s="290"/>
    </row>
    <row r="34" spans="1:74" s="15" customFormat="1" ht="22.9" hidden="1" customHeight="1">
      <c r="A34" s="53">
        <v>25</v>
      </c>
      <c r="B34" s="77" t="s">
        <v>211</v>
      </c>
      <c r="C34" s="177" t="s">
        <v>255</v>
      </c>
      <c r="D34" s="191">
        <v>1075248439</v>
      </c>
      <c r="E34" t="s">
        <v>290</v>
      </c>
      <c r="F34" s="195" t="s">
        <v>263</v>
      </c>
      <c r="G34" s="195"/>
      <c r="H34" s="183">
        <v>46407</v>
      </c>
      <c r="I34" s="184" t="s">
        <v>353</v>
      </c>
      <c r="J34" s="161" t="s">
        <v>22</v>
      </c>
      <c r="K34" s="159">
        <v>5</v>
      </c>
      <c r="L34" s="160" t="s">
        <v>84</v>
      </c>
      <c r="M34" s="155" t="s">
        <v>69</v>
      </c>
      <c r="N34" s="152" t="s">
        <v>30</v>
      </c>
      <c r="O34" s="151" t="s">
        <v>30</v>
      </c>
      <c r="P34" s="151" t="s">
        <v>30</v>
      </c>
      <c r="Q34" s="188" t="s">
        <v>30</v>
      </c>
      <c r="R34" s="161" t="s">
        <v>22</v>
      </c>
      <c r="S34" s="160" t="s">
        <v>329</v>
      </c>
      <c r="T34" s="160" t="s">
        <v>84</v>
      </c>
      <c r="U34" s="155" t="s">
        <v>69</v>
      </c>
      <c r="V34" s="152" t="s">
        <v>30</v>
      </c>
      <c r="W34" s="151" t="s">
        <v>30</v>
      </c>
      <c r="X34" s="151" t="s">
        <v>30</v>
      </c>
      <c r="Y34" s="188" t="s">
        <v>30</v>
      </c>
      <c r="Z34" s="161" t="s">
        <v>22</v>
      </c>
      <c r="AA34" s="160">
        <v>5</v>
      </c>
      <c r="AB34" s="160" t="s">
        <v>84</v>
      </c>
      <c r="AC34" s="155" t="s">
        <v>70</v>
      </c>
      <c r="AD34" s="159" t="s">
        <v>22</v>
      </c>
      <c r="AE34" s="160">
        <v>5</v>
      </c>
      <c r="AF34" s="160" t="s">
        <v>84</v>
      </c>
      <c r="AG34" s="169" t="s">
        <v>71</v>
      </c>
      <c r="AH34" s="157" t="s">
        <v>30</v>
      </c>
      <c r="AI34" s="151" t="s">
        <v>30</v>
      </c>
      <c r="AJ34" s="151" t="s">
        <v>30</v>
      </c>
      <c r="AK34" s="158" t="s">
        <v>30</v>
      </c>
      <c r="AL34" s="168"/>
      <c r="AM34" s="166"/>
      <c r="AN34" s="167"/>
      <c r="AO34" s="155"/>
      <c r="AP34" s="161"/>
      <c r="AQ34" s="166"/>
      <c r="AR34" s="160"/>
      <c r="AS34" s="170"/>
      <c r="AT34" s="161"/>
      <c r="AU34" s="166"/>
      <c r="AV34" s="160"/>
      <c r="AW34" s="170"/>
      <c r="AX34" s="161" t="s">
        <v>22</v>
      </c>
      <c r="AY34" s="160">
        <v>5</v>
      </c>
      <c r="AZ34" s="160" t="s">
        <v>84</v>
      </c>
      <c r="BA34" s="154">
        <v>46761</v>
      </c>
      <c r="BB34" s="159" t="s">
        <v>22</v>
      </c>
      <c r="BC34" s="160">
        <v>5</v>
      </c>
      <c r="BE34" s="204">
        <v>46741</v>
      </c>
      <c r="BF34" s="161" t="s">
        <v>22</v>
      </c>
      <c r="BG34" s="160">
        <v>5</v>
      </c>
      <c r="BH34" s="160" t="s">
        <v>84</v>
      </c>
      <c r="BI34" s="270">
        <v>47863</v>
      </c>
      <c r="BJ34" s="157" t="s">
        <v>30</v>
      </c>
      <c r="BK34" s="151" t="s">
        <v>30</v>
      </c>
      <c r="BL34" s="151" t="s">
        <v>30</v>
      </c>
      <c r="BM34" s="179">
        <v>46437</v>
      </c>
      <c r="BN34" s="159" t="s">
        <v>22</v>
      </c>
      <c r="BO34" s="160" t="s">
        <v>329</v>
      </c>
      <c r="BP34" s="160" t="s">
        <v>84</v>
      </c>
      <c r="BQ34" s="178">
        <v>46406</v>
      </c>
      <c r="BR34" s="161" t="s">
        <v>22</v>
      </c>
      <c r="BS34" s="160" t="s">
        <v>329</v>
      </c>
      <c r="BT34" s="160" t="s">
        <v>84</v>
      </c>
      <c r="BU34" s="178">
        <v>46771</v>
      </c>
      <c r="BV34" s="99"/>
    </row>
    <row r="35" spans="1:74" s="15" customFormat="1" ht="22.9" hidden="1" customHeight="1">
      <c r="A35" s="53">
        <v>26</v>
      </c>
      <c r="B35" s="77" t="s">
        <v>211</v>
      </c>
      <c r="C35" s="176" t="s">
        <v>262</v>
      </c>
      <c r="D35" s="191">
        <v>1075250696</v>
      </c>
      <c r="E35" s="194" t="s">
        <v>293</v>
      </c>
      <c r="F35" s="194" t="s">
        <v>263</v>
      </c>
      <c r="G35" s="194"/>
      <c r="H35" s="196">
        <v>46516</v>
      </c>
      <c r="I35" s="184" t="s">
        <v>353</v>
      </c>
      <c r="J35" s="161" t="s">
        <v>22</v>
      </c>
      <c r="K35" s="159">
        <v>5</v>
      </c>
      <c r="L35" s="160" t="s">
        <v>84</v>
      </c>
      <c r="M35" s="155" t="s">
        <v>70</v>
      </c>
      <c r="N35" s="152" t="s">
        <v>30</v>
      </c>
      <c r="O35" s="151" t="s">
        <v>30</v>
      </c>
      <c r="P35" s="151" t="s">
        <v>30</v>
      </c>
      <c r="Q35" s="188" t="s">
        <v>30</v>
      </c>
      <c r="R35" s="161" t="s">
        <v>22</v>
      </c>
      <c r="S35" s="160" t="s">
        <v>329</v>
      </c>
      <c r="T35" s="160" t="s">
        <v>84</v>
      </c>
      <c r="U35" s="155" t="s">
        <v>70</v>
      </c>
      <c r="V35" s="152" t="s">
        <v>30</v>
      </c>
      <c r="W35" s="151" t="s">
        <v>30</v>
      </c>
      <c r="X35" s="151" t="s">
        <v>30</v>
      </c>
      <c r="Y35" s="188" t="s">
        <v>30</v>
      </c>
      <c r="Z35" s="161" t="s">
        <v>22</v>
      </c>
      <c r="AA35" s="160">
        <v>5</v>
      </c>
      <c r="AB35" s="160" t="s">
        <v>84</v>
      </c>
      <c r="AC35" s="155" t="s">
        <v>70</v>
      </c>
      <c r="AD35" s="159" t="s">
        <v>22</v>
      </c>
      <c r="AE35" s="160">
        <v>5</v>
      </c>
      <c r="AF35" s="160" t="s">
        <v>84</v>
      </c>
      <c r="AG35" s="169" t="s">
        <v>71</v>
      </c>
      <c r="AH35" s="157" t="s">
        <v>30</v>
      </c>
      <c r="AI35" s="151" t="s">
        <v>30</v>
      </c>
      <c r="AJ35" s="151" t="s">
        <v>30</v>
      </c>
      <c r="AK35" s="151" t="s">
        <v>30</v>
      </c>
      <c r="AL35" s="157" t="s">
        <v>30</v>
      </c>
      <c r="AM35" s="151" t="s">
        <v>30</v>
      </c>
      <c r="AN35" s="151" t="s">
        <v>30</v>
      </c>
      <c r="AO35" s="155"/>
      <c r="AP35" s="157" t="s">
        <v>30</v>
      </c>
      <c r="AQ35" s="151" t="s">
        <v>30</v>
      </c>
      <c r="AR35" s="151" t="s">
        <v>30</v>
      </c>
      <c r="AS35" s="170"/>
      <c r="AT35" s="157" t="s">
        <v>30</v>
      </c>
      <c r="AU35" s="151" t="s">
        <v>30</v>
      </c>
      <c r="AV35" s="151" t="s">
        <v>30</v>
      </c>
      <c r="AW35" s="170"/>
      <c r="AX35" s="157" t="s">
        <v>30</v>
      </c>
      <c r="AY35" s="151" t="s">
        <v>30</v>
      </c>
      <c r="AZ35" s="151" t="s">
        <v>30</v>
      </c>
      <c r="BA35" s="154">
        <v>46439</v>
      </c>
      <c r="BB35" s="152" t="s">
        <v>30</v>
      </c>
      <c r="BC35" s="151" t="s">
        <v>30</v>
      </c>
      <c r="BD35" s="151" t="s">
        <v>30</v>
      </c>
      <c r="BE35" s="188" t="s">
        <v>30</v>
      </c>
      <c r="BF35" s="157" t="s">
        <v>30</v>
      </c>
      <c r="BG35" s="151" t="s">
        <v>30</v>
      </c>
      <c r="BH35" s="151" t="s">
        <v>30</v>
      </c>
      <c r="BI35" s="188" t="s">
        <v>30</v>
      </c>
      <c r="BJ35" s="157" t="s">
        <v>30</v>
      </c>
      <c r="BK35" s="151" t="s">
        <v>30</v>
      </c>
      <c r="BL35" s="151" t="s">
        <v>30</v>
      </c>
      <c r="BM35" s="170" t="s">
        <v>80</v>
      </c>
      <c r="BN35" s="159" t="s">
        <v>22</v>
      </c>
      <c r="BO35" s="160" t="s">
        <v>329</v>
      </c>
      <c r="BP35" s="160" t="s">
        <v>84</v>
      </c>
      <c r="BQ35" s="178">
        <v>46421</v>
      </c>
      <c r="BR35" s="161" t="s">
        <v>22</v>
      </c>
      <c r="BS35" s="160">
        <v>5</v>
      </c>
      <c r="BT35" s="160" t="s">
        <v>84</v>
      </c>
      <c r="BU35" s="178">
        <v>46786</v>
      </c>
      <c r="BV35" s="99"/>
    </row>
    <row r="36" spans="1:74" s="291" customFormat="1" ht="22.9" customHeight="1">
      <c r="A36" s="268">
        <v>27</v>
      </c>
      <c r="B36" s="77" t="s">
        <v>211</v>
      </c>
      <c r="C36" s="176" t="s">
        <v>281</v>
      </c>
      <c r="D36" s="191">
        <v>79729680</v>
      </c>
      <c r="E36" s="276" t="s">
        <v>312</v>
      </c>
      <c r="F36" s="194" t="s">
        <v>273</v>
      </c>
      <c r="G36" s="194"/>
      <c r="H36" s="183">
        <v>46259</v>
      </c>
      <c r="I36" s="282" t="s">
        <v>185</v>
      </c>
      <c r="J36" s="161" t="s">
        <v>22</v>
      </c>
      <c r="K36" s="159">
        <v>5</v>
      </c>
      <c r="L36" s="160" t="s">
        <v>84</v>
      </c>
      <c r="M36" s="155" t="s">
        <v>74</v>
      </c>
      <c r="N36" s="172" t="s">
        <v>30</v>
      </c>
      <c r="O36" s="166" t="s">
        <v>30</v>
      </c>
      <c r="P36" s="166" t="s">
        <v>30</v>
      </c>
      <c r="Q36" s="282" t="s">
        <v>30</v>
      </c>
      <c r="R36" s="161" t="s">
        <v>22</v>
      </c>
      <c r="S36" s="160">
        <v>4.5</v>
      </c>
      <c r="T36" s="160" t="s">
        <v>84</v>
      </c>
      <c r="U36" s="155" t="s">
        <v>74</v>
      </c>
      <c r="V36" s="172" t="s">
        <v>30</v>
      </c>
      <c r="W36" s="166" t="s">
        <v>30</v>
      </c>
      <c r="X36" s="166" t="s">
        <v>30</v>
      </c>
      <c r="Y36" s="282" t="s">
        <v>30</v>
      </c>
      <c r="Z36" s="161" t="s">
        <v>22</v>
      </c>
      <c r="AA36" s="160">
        <v>5</v>
      </c>
      <c r="AB36" s="160" t="s">
        <v>84</v>
      </c>
      <c r="AC36" s="155" t="s">
        <v>70</v>
      </c>
      <c r="AD36" s="159" t="s">
        <v>22</v>
      </c>
      <c r="AE36" s="160">
        <v>5</v>
      </c>
      <c r="AF36" s="160" t="s">
        <v>84</v>
      </c>
      <c r="AG36" s="169" t="s">
        <v>71</v>
      </c>
      <c r="AH36" s="161" t="s">
        <v>22</v>
      </c>
      <c r="AI36" s="160">
        <v>5</v>
      </c>
      <c r="AJ36" s="160" t="s">
        <v>84</v>
      </c>
      <c r="AK36" s="289" t="s">
        <v>74</v>
      </c>
      <c r="AL36" s="168"/>
      <c r="AM36" s="160"/>
      <c r="AN36" s="167"/>
      <c r="AO36" s="155"/>
      <c r="AP36" s="161"/>
      <c r="AQ36" s="160"/>
      <c r="AR36" s="160"/>
      <c r="AS36" s="170"/>
      <c r="AT36" s="161"/>
      <c r="AU36" s="160"/>
      <c r="AV36" s="160"/>
      <c r="AW36" s="170"/>
      <c r="AX36" s="161" t="s">
        <v>22</v>
      </c>
      <c r="AY36" s="160">
        <v>5</v>
      </c>
      <c r="AZ36" s="160" t="s">
        <v>84</v>
      </c>
      <c r="BA36" s="155">
        <v>46902</v>
      </c>
      <c r="BB36" s="283" t="s">
        <v>22</v>
      </c>
      <c r="BC36" s="284">
        <v>5</v>
      </c>
      <c r="BD36" s="160" t="s">
        <v>84</v>
      </c>
      <c r="BE36" s="171">
        <v>46868</v>
      </c>
      <c r="BF36" s="210" t="s">
        <v>30</v>
      </c>
      <c r="BG36" s="166" t="s">
        <v>30</v>
      </c>
      <c r="BH36" s="166" t="s">
        <v>84</v>
      </c>
      <c r="BI36" s="279">
        <v>46443</v>
      </c>
      <c r="BJ36" s="210" t="s">
        <v>30</v>
      </c>
      <c r="BK36" s="166" t="s">
        <v>30</v>
      </c>
      <c r="BL36" s="166" t="s">
        <v>30</v>
      </c>
      <c r="BM36" s="166" t="s">
        <v>30</v>
      </c>
      <c r="BN36" s="159" t="s">
        <v>22</v>
      </c>
      <c r="BO36" s="160">
        <v>5</v>
      </c>
      <c r="BP36" s="160" t="s">
        <v>84</v>
      </c>
      <c r="BQ36" s="278">
        <v>46528</v>
      </c>
      <c r="BR36" s="161" t="s">
        <v>22</v>
      </c>
      <c r="BS36" s="160">
        <v>5</v>
      </c>
      <c r="BT36" s="160" t="s">
        <v>84</v>
      </c>
      <c r="BU36" s="278">
        <v>46894</v>
      </c>
      <c r="BV36" s="290"/>
    </row>
    <row r="37" spans="1:74" s="15" customFormat="1" ht="22.9" hidden="1" customHeight="1">
      <c r="A37" s="53">
        <v>28</v>
      </c>
      <c r="B37" s="77" t="s">
        <v>211</v>
      </c>
      <c r="C37" s="177" t="s">
        <v>279</v>
      </c>
      <c r="D37" s="191">
        <v>80792740</v>
      </c>
      <c r="E37" t="s">
        <v>313</v>
      </c>
      <c r="F37" s="194" t="s">
        <v>272</v>
      </c>
      <c r="G37" s="194"/>
      <c r="H37" s="183">
        <v>46391</v>
      </c>
      <c r="I37" s="184" t="s">
        <v>353</v>
      </c>
      <c r="J37" s="161" t="s">
        <v>22</v>
      </c>
      <c r="K37" s="159">
        <v>5</v>
      </c>
      <c r="L37" s="160" t="s">
        <v>84</v>
      </c>
      <c r="M37" s="155" t="s">
        <v>70</v>
      </c>
      <c r="N37" s="152" t="s">
        <v>30</v>
      </c>
      <c r="O37" s="151" t="s">
        <v>30</v>
      </c>
      <c r="P37" s="151" t="s">
        <v>30</v>
      </c>
      <c r="Q37" s="188" t="s">
        <v>30</v>
      </c>
      <c r="R37" s="161" t="s">
        <v>22</v>
      </c>
      <c r="S37" s="160" t="s">
        <v>338</v>
      </c>
      <c r="T37" s="160" t="s">
        <v>84</v>
      </c>
      <c r="U37" s="155" t="s">
        <v>70</v>
      </c>
      <c r="V37" s="152" t="s">
        <v>30</v>
      </c>
      <c r="W37" s="151" t="s">
        <v>30</v>
      </c>
      <c r="X37" s="151" t="s">
        <v>30</v>
      </c>
      <c r="Y37" s="188" t="s">
        <v>30</v>
      </c>
      <c r="Z37" s="161" t="s">
        <v>22</v>
      </c>
      <c r="AA37" s="160">
        <v>5</v>
      </c>
      <c r="AB37" s="160" t="s">
        <v>84</v>
      </c>
      <c r="AC37" s="155" t="s">
        <v>70</v>
      </c>
      <c r="AD37" s="159" t="s">
        <v>22</v>
      </c>
      <c r="AE37" s="160">
        <v>5</v>
      </c>
      <c r="AF37" s="160" t="s">
        <v>84</v>
      </c>
      <c r="AG37" s="169" t="s">
        <v>71</v>
      </c>
      <c r="AH37" s="157" t="s">
        <v>30</v>
      </c>
      <c r="AI37" s="151" t="s">
        <v>30</v>
      </c>
      <c r="AJ37" s="151" t="s">
        <v>30</v>
      </c>
      <c r="AK37" s="158" t="s">
        <v>30</v>
      </c>
      <c r="AL37" s="267"/>
      <c r="AM37" s="59"/>
      <c r="AN37" s="74"/>
      <c r="AO37" s="155"/>
      <c r="AP37" s="60"/>
      <c r="AQ37" s="59"/>
      <c r="AR37" s="59"/>
      <c r="AS37" s="170"/>
      <c r="AT37" s="60"/>
      <c r="AU37" s="59"/>
      <c r="AV37" s="59"/>
      <c r="AW37" s="170"/>
      <c r="AX37" s="157" t="s">
        <v>30</v>
      </c>
      <c r="AY37" s="151" t="s">
        <v>30</v>
      </c>
      <c r="AZ37" s="151" t="s">
        <v>30</v>
      </c>
      <c r="BA37" s="154">
        <v>46705</v>
      </c>
      <c r="BB37" s="152" t="s">
        <v>30</v>
      </c>
      <c r="BC37" s="151" t="s">
        <v>30</v>
      </c>
      <c r="BD37" s="151" t="s">
        <v>30</v>
      </c>
      <c r="BE37" s="169" t="s">
        <v>77</v>
      </c>
      <c r="BF37" s="157" t="s">
        <v>30</v>
      </c>
      <c r="BG37" s="151" t="s">
        <v>30</v>
      </c>
      <c r="BH37" s="151" t="s">
        <v>30</v>
      </c>
      <c r="BI37" s="270">
        <v>47646</v>
      </c>
      <c r="BJ37" s="157" t="s">
        <v>30</v>
      </c>
      <c r="BK37" s="151" t="s">
        <v>30</v>
      </c>
      <c r="BL37" s="151" t="s">
        <v>30</v>
      </c>
      <c r="BM37" s="170" t="s">
        <v>76</v>
      </c>
      <c r="BN37" s="159" t="s">
        <v>22</v>
      </c>
      <c r="BO37" s="160">
        <v>5</v>
      </c>
      <c r="BP37" s="160" t="s">
        <v>84</v>
      </c>
      <c r="BQ37" s="154">
        <v>46443</v>
      </c>
      <c r="BR37" s="157" t="s">
        <v>30</v>
      </c>
      <c r="BS37" s="151" t="s">
        <v>30</v>
      </c>
      <c r="BT37" s="151" t="s">
        <v>30</v>
      </c>
      <c r="BU37" s="178">
        <v>46493</v>
      </c>
      <c r="BV37" s="99"/>
    </row>
    <row r="38" spans="1:74" s="15" customFormat="1" ht="22.9" hidden="1" customHeight="1">
      <c r="A38" s="53">
        <v>29</v>
      </c>
      <c r="B38" s="77" t="s">
        <v>211</v>
      </c>
      <c r="C38" s="176" t="s">
        <v>278</v>
      </c>
      <c r="D38" s="191">
        <v>79907285</v>
      </c>
      <c r="E38" t="s">
        <v>314</v>
      </c>
      <c r="F38" s="194" t="s">
        <v>272</v>
      </c>
      <c r="G38" s="194"/>
      <c r="H38" s="183">
        <v>46422</v>
      </c>
      <c r="I38" s="184" t="s">
        <v>353</v>
      </c>
      <c r="J38" s="161" t="s">
        <v>22</v>
      </c>
      <c r="K38" s="159" t="s">
        <v>329</v>
      </c>
      <c r="L38" s="160" t="s">
        <v>84</v>
      </c>
      <c r="M38" s="155" t="s">
        <v>70</v>
      </c>
      <c r="N38" s="152" t="s">
        <v>30</v>
      </c>
      <c r="O38" s="151" t="s">
        <v>30</v>
      </c>
      <c r="P38" s="151" t="s">
        <v>30</v>
      </c>
      <c r="Q38" s="188" t="s">
        <v>30</v>
      </c>
      <c r="R38" s="161" t="s">
        <v>22</v>
      </c>
      <c r="S38" s="160">
        <v>5</v>
      </c>
      <c r="T38" s="160" t="s">
        <v>84</v>
      </c>
      <c r="U38" s="155" t="s">
        <v>70</v>
      </c>
      <c r="V38" s="165" t="s">
        <v>22</v>
      </c>
      <c r="W38" s="166">
        <v>5</v>
      </c>
      <c r="X38" s="167" t="s">
        <v>84</v>
      </c>
      <c r="Y38" s="202" t="s">
        <v>72</v>
      </c>
      <c r="Z38" s="161" t="s">
        <v>22</v>
      </c>
      <c r="AA38" s="160">
        <v>5</v>
      </c>
      <c r="AB38" s="160" t="s">
        <v>84</v>
      </c>
      <c r="AC38" s="155" t="s">
        <v>70</v>
      </c>
      <c r="AD38" s="159" t="s">
        <v>22</v>
      </c>
      <c r="AE38" s="160">
        <v>5</v>
      </c>
      <c r="AF38" s="160" t="s">
        <v>84</v>
      </c>
      <c r="AG38" s="169" t="s">
        <v>71</v>
      </c>
      <c r="AH38" s="157" t="s">
        <v>30</v>
      </c>
      <c r="AI38" s="151" t="s">
        <v>30</v>
      </c>
      <c r="AJ38" s="151" t="s">
        <v>30</v>
      </c>
      <c r="AK38" s="158" t="s">
        <v>30</v>
      </c>
      <c r="AL38" s="267"/>
      <c r="AM38" s="59"/>
      <c r="AN38" s="74"/>
      <c r="AO38" s="155"/>
      <c r="AP38" s="60"/>
      <c r="AQ38" s="59"/>
      <c r="AR38" s="59"/>
      <c r="AS38" s="170"/>
      <c r="AT38" s="60"/>
      <c r="AU38" s="59"/>
      <c r="AV38" s="59"/>
      <c r="AW38" s="170"/>
      <c r="AX38" s="60"/>
      <c r="AY38" s="160"/>
      <c r="AZ38" s="59"/>
      <c r="BA38" s="170" t="s">
        <v>78</v>
      </c>
      <c r="BB38" s="159" t="s">
        <v>22</v>
      </c>
      <c r="BC38" s="160">
        <v>5</v>
      </c>
      <c r="BD38" s="160" t="s">
        <v>84</v>
      </c>
      <c r="BE38" s="204">
        <v>46790</v>
      </c>
      <c r="BF38" s="161" t="s">
        <v>22</v>
      </c>
      <c r="BG38" s="160">
        <v>5</v>
      </c>
      <c r="BH38" s="160" t="s">
        <v>84</v>
      </c>
      <c r="BI38" s="270">
        <v>47884</v>
      </c>
      <c r="BJ38" s="161" t="s">
        <v>22</v>
      </c>
      <c r="BK38" s="160">
        <v>5</v>
      </c>
      <c r="BL38" s="160" t="s">
        <v>84</v>
      </c>
      <c r="BM38" s="170" t="s">
        <v>70</v>
      </c>
      <c r="BN38" s="159" t="s">
        <v>22</v>
      </c>
      <c r="BO38" s="160">
        <v>5</v>
      </c>
      <c r="BP38" s="160" t="s">
        <v>84</v>
      </c>
      <c r="BQ38" s="154">
        <v>46441</v>
      </c>
      <c r="BR38" s="161" t="s">
        <v>22</v>
      </c>
      <c r="BS38" s="160" t="s">
        <v>329</v>
      </c>
      <c r="BT38" s="160" t="s">
        <v>84</v>
      </c>
      <c r="BU38" s="178">
        <v>46790</v>
      </c>
      <c r="BV38" s="99"/>
    </row>
    <row r="39" spans="1:74" s="291" customFormat="1" ht="22.9" customHeight="1">
      <c r="A39" s="268">
        <v>30</v>
      </c>
      <c r="B39" s="77" t="s">
        <v>211</v>
      </c>
      <c r="C39" s="176" t="s">
        <v>241</v>
      </c>
      <c r="D39" s="191">
        <v>1098728440</v>
      </c>
      <c r="E39" s="276" t="s">
        <v>296</v>
      </c>
      <c r="F39" s="194" t="s">
        <v>254</v>
      </c>
      <c r="G39" s="194"/>
      <c r="H39" s="183">
        <v>46269</v>
      </c>
      <c r="I39" s="282" t="s">
        <v>185</v>
      </c>
      <c r="J39" s="161" t="s">
        <v>22</v>
      </c>
      <c r="K39" s="172">
        <v>5</v>
      </c>
      <c r="L39" s="160" t="s">
        <v>84</v>
      </c>
      <c r="M39" s="155" t="s">
        <v>69</v>
      </c>
      <c r="N39" s="172" t="s">
        <v>30</v>
      </c>
      <c r="O39" s="166" t="s">
        <v>30</v>
      </c>
      <c r="P39" s="166" t="s">
        <v>30</v>
      </c>
      <c r="Q39" s="282" t="s">
        <v>30</v>
      </c>
      <c r="R39" s="161" t="s">
        <v>22</v>
      </c>
      <c r="S39" s="160">
        <v>5</v>
      </c>
      <c r="T39" s="160" t="s">
        <v>84</v>
      </c>
      <c r="U39" s="155" t="s">
        <v>69</v>
      </c>
      <c r="V39" s="172" t="s">
        <v>30</v>
      </c>
      <c r="W39" s="166" t="s">
        <v>30</v>
      </c>
      <c r="X39" s="166" t="s">
        <v>30</v>
      </c>
      <c r="Y39" s="282" t="s">
        <v>30</v>
      </c>
      <c r="Z39" s="161" t="s">
        <v>22</v>
      </c>
      <c r="AA39" s="160">
        <v>5</v>
      </c>
      <c r="AB39" s="160" t="s">
        <v>84</v>
      </c>
      <c r="AC39" s="155" t="s">
        <v>70</v>
      </c>
      <c r="AD39" s="159" t="s">
        <v>22</v>
      </c>
      <c r="AE39" s="160">
        <v>5</v>
      </c>
      <c r="AF39" s="160" t="s">
        <v>84</v>
      </c>
      <c r="AG39" s="169" t="s">
        <v>71</v>
      </c>
      <c r="AH39" s="161" t="s">
        <v>22</v>
      </c>
      <c r="AI39" s="160">
        <v>4.5</v>
      </c>
      <c r="AJ39" s="160" t="s">
        <v>84</v>
      </c>
      <c r="AK39" s="289" t="s">
        <v>74</v>
      </c>
      <c r="AL39" s="168"/>
      <c r="AM39" s="160"/>
      <c r="AN39" s="167"/>
      <c r="AO39" s="155"/>
      <c r="AP39" s="161"/>
      <c r="AQ39" s="166"/>
      <c r="AR39" s="160"/>
      <c r="AS39" s="170"/>
      <c r="AT39" s="161"/>
      <c r="AU39" s="160"/>
      <c r="AV39" s="160"/>
      <c r="AW39" s="170"/>
      <c r="AX39" s="210" t="s">
        <v>30</v>
      </c>
      <c r="AY39" s="166" t="s">
        <v>30</v>
      </c>
      <c r="AZ39" s="166" t="s">
        <v>30</v>
      </c>
      <c r="BA39" s="155">
        <v>46639</v>
      </c>
      <c r="BB39" s="172" t="s">
        <v>30</v>
      </c>
      <c r="BC39" s="166" t="s">
        <v>30</v>
      </c>
      <c r="BD39" s="166" t="s">
        <v>30</v>
      </c>
      <c r="BE39" s="171">
        <v>46461</v>
      </c>
      <c r="BF39" s="210" t="s">
        <v>30</v>
      </c>
      <c r="BG39" s="166" t="s">
        <v>30</v>
      </c>
      <c r="BH39" s="166" t="s">
        <v>30</v>
      </c>
      <c r="BI39" s="279">
        <v>47750</v>
      </c>
      <c r="BJ39" s="210" t="s">
        <v>30</v>
      </c>
      <c r="BK39" s="166" t="s">
        <v>30</v>
      </c>
      <c r="BL39" s="166" t="s">
        <v>30</v>
      </c>
      <c r="BM39" s="166" t="s">
        <v>30</v>
      </c>
      <c r="BN39" s="159" t="s">
        <v>22</v>
      </c>
      <c r="BO39" s="160">
        <v>5</v>
      </c>
      <c r="BP39" s="160" t="s">
        <v>84</v>
      </c>
      <c r="BQ39" s="155">
        <v>46414</v>
      </c>
      <c r="BR39" s="161" t="s">
        <v>22</v>
      </c>
      <c r="BS39" s="160" t="s">
        <v>329</v>
      </c>
      <c r="BT39" s="160" t="s">
        <v>84</v>
      </c>
      <c r="BU39" s="278">
        <v>46780</v>
      </c>
      <c r="BV39" s="290"/>
    </row>
    <row r="40" spans="1:74" s="15" customFormat="1" ht="22.9" hidden="1" customHeight="1">
      <c r="A40" s="53">
        <v>31</v>
      </c>
      <c r="B40" s="77" t="s">
        <v>211</v>
      </c>
      <c r="C40" s="176" t="s">
        <v>333</v>
      </c>
      <c r="D40" s="191">
        <v>1013602713</v>
      </c>
      <c r="E40" t="s">
        <v>304</v>
      </c>
      <c r="F40" s="194" t="s">
        <v>272</v>
      </c>
      <c r="G40" s="194"/>
      <c r="H40" s="183">
        <v>46214</v>
      </c>
      <c r="I40" s="184" t="s">
        <v>353</v>
      </c>
      <c r="J40" s="157" t="s">
        <v>30</v>
      </c>
      <c r="K40" s="152" t="s">
        <v>30</v>
      </c>
      <c r="L40" s="151" t="s">
        <v>30</v>
      </c>
      <c r="M40" s="155" t="s">
        <v>75</v>
      </c>
      <c r="N40" s="152" t="s">
        <v>30</v>
      </c>
      <c r="O40" s="151" t="s">
        <v>30</v>
      </c>
      <c r="P40" s="151" t="s">
        <v>30</v>
      </c>
      <c r="Q40" s="188" t="s">
        <v>30</v>
      </c>
      <c r="R40" s="157" t="s">
        <v>30</v>
      </c>
      <c r="S40" s="151" t="s">
        <v>30</v>
      </c>
      <c r="T40" s="151" t="s">
        <v>30</v>
      </c>
      <c r="U40" s="155" t="s">
        <v>75</v>
      </c>
      <c r="V40" s="152" t="s">
        <v>30</v>
      </c>
      <c r="W40" s="151" t="s">
        <v>30</v>
      </c>
      <c r="X40" s="151" t="s">
        <v>30</v>
      </c>
      <c r="Y40" s="188" t="s">
        <v>30</v>
      </c>
      <c r="Z40" s="161" t="s">
        <v>22</v>
      </c>
      <c r="AA40" s="160">
        <v>5</v>
      </c>
      <c r="AB40" s="160" t="s">
        <v>84</v>
      </c>
      <c r="AC40" s="155" t="s">
        <v>70</v>
      </c>
      <c r="AD40" s="159" t="s">
        <v>22</v>
      </c>
      <c r="AE40" s="160">
        <v>5</v>
      </c>
      <c r="AF40" s="160" t="s">
        <v>84</v>
      </c>
      <c r="AG40" s="169" t="s">
        <v>71</v>
      </c>
      <c r="AH40" s="157" t="s">
        <v>30</v>
      </c>
      <c r="AI40" s="151" t="s">
        <v>30</v>
      </c>
      <c r="AJ40" s="151" t="s">
        <v>30</v>
      </c>
      <c r="AK40" s="158" t="s">
        <v>30</v>
      </c>
      <c r="AL40" s="267"/>
      <c r="AM40" s="59"/>
      <c r="AN40" s="74"/>
      <c r="AO40" s="155"/>
      <c r="AP40" s="60"/>
      <c r="AQ40" s="59"/>
      <c r="AR40" s="59"/>
      <c r="AS40" s="170"/>
      <c r="AT40" s="60"/>
      <c r="AU40" s="59"/>
      <c r="AV40" s="59"/>
      <c r="AW40" s="170"/>
      <c r="AX40" s="161" t="s">
        <v>22</v>
      </c>
      <c r="AY40" s="160">
        <v>5</v>
      </c>
      <c r="AZ40" s="160" t="s">
        <v>84</v>
      </c>
      <c r="BA40" s="154">
        <v>46796</v>
      </c>
      <c r="BB40" s="159" t="s">
        <v>22</v>
      </c>
      <c r="BC40" s="160">
        <v>5</v>
      </c>
      <c r="BD40" s="160" t="s">
        <v>84</v>
      </c>
      <c r="BE40" s="204">
        <v>46817</v>
      </c>
      <c r="BF40" s="157" t="s">
        <v>30</v>
      </c>
      <c r="BG40" s="151" t="s">
        <v>30</v>
      </c>
      <c r="BH40" s="151" t="s">
        <v>30</v>
      </c>
      <c r="BI40" s="270">
        <v>47618</v>
      </c>
      <c r="BJ40" s="157" t="s">
        <v>30</v>
      </c>
      <c r="BK40" s="151" t="s">
        <v>30</v>
      </c>
      <c r="BL40" s="151" t="s">
        <v>30</v>
      </c>
      <c r="BM40" s="170" t="s">
        <v>74</v>
      </c>
      <c r="BN40" s="159" t="s">
        <v>22</v>
      </c>
      <c r="BO40" s="160">
        <v>5</v>
      </c>
      <c r="BP40" s="160" t="s">
        <v>84</v>
      </c>
      <c r="BQ40" s="178">
        <v>46412</v>
      </c>
      <c r="BR40" s="157" t="s">
        <v>30</v>
      </c>
      <c r="BS40" s="151" t="s">
        <v>30</v>
      </c>
      <c r="BT40" s="151" t="s">
        <v>30</v>
      </c>
      <c r="BU40" s="154">
        <v>46410</v>
      </c>
      <c r="BV40" s="99"/>
    </row>
    <row r="41" spans="1:74" s="15" customFormat="1" ht="22.9" hidden="1" customHeight="1">
      <c r="A41" s="53">
        <v>32</v>
      </c>
      <c r="B41" s="77" t="s">
        <v>211</v>
      </c>
      <c r="C41" s="177" t="s">
        <v>245</v>
      </c>
      <c r="D41" s="191">
        <v>1098712563</v>
      </c>
      <c r="E41" t="s">
        <v>283</v>
      </c>
      <c r="F41" s="194" t="s">
        <v>236</v>
      </c>
      <c r="G41" s="194"/>
      <c r="H41" s="183">
        <v>46362</v>
      </c>
      <c r="I41" s="184" t="s">
        <v>353</v>
      </c>
      <c r="J41" s="157" t="s">
        <v>30</v>
      </c>
      <c r="K41" s="152" t="s">
        <v>30</v>
      </c>
      <c r="L41" s="151" t="s">
        <v>30</v>
      </c>
      <c r="M41" s="155" t="s">
        <v>80</v>
      </c>
      <c r="N41" s="152" t="s">
        <v>30</v>
      </c>
      <c r="O41" s="151" t="s">
        <v>30</v>
      </c>
      <c r="P41" s="151" t="s">
        <v>30</v>
      </c>
      <c r="Q41" s="188" t="s">
        <v>30</v>
      </c>
      <c r="R41" s="157" t="s">
        <v>30</v>
      </c>
      <c r="S41" s="151" t="s">
        <v>30</v>
      </c>
      <c r="T41" s="151" t="s">
        <v>30</v>
      </c>
      <c r="U41" s="155" t="s">
        <v>80</v>
      </c>
      <c r="V41" s="165" t="s">
        <v>22</v>
      </c>
      <c r="W41" s="166">
        <v>5</v>
      </c>
      <c r="X41" s="167" t="s">
        <v>84</v>
      </c>
      <c r="Y41" s="171" t="s">
        <v>70</v>
      </c>
      <c r="Z41" s="161" t="s">
        <v>22</v>
      </c>
      <c r="AA41" s="160">
        <v>5</v>
      </c>
      <c r="AB41" s="160" t="s">
        <v>84</v>
      </c>
      <c r="AC41" s="155" t="s">
        <v>70</v>
      </c>
      <c r="AD41" s="159" t="s">
        <v>22</v>
      </c>
      <c r="AE41" s="160">
        <v>5</v>
      </c>
      <c r="AF41" s="160" t="s">
        <v>84</v>
      </c>
      <c r="AG41" s="169" t="s">
        <v>71</v>
      </c>
      <c r="AH41" s="157" t="s">
        <v>30</v>
      </c>
      <c r="AI41" s="151" t="s">
        <v>30</v>
      </c>
      <c r="AJ41" s="151" t="s">
        <v>30</v>
      </c>
      <c r="AK41" s="158" t="s">
        <v>30</v>
      </c>
      <c r="AL41" s="168"/>
      <c r="AM41" s="160"/>
      <c r="AN41" s="167"/>
      <c r="AO41" s="155"/>
      <c r="AP41" s="161"/>
      <c r="AQ41" s="160"/>
      <c r="AR41" s="160"/>
      <c r="AS41" s="170"/>
      <c r="AT41" s="161"/>
      <c r="AU41" s="160"/>
      <c r="AV41" s="160"/>
      <c r="AW41" s="170"/>
      <c r="AX41" s="157" t="s">
        <v>30</v>
      </c>
      <c r="AY41" s="151" t="s">
        <v>30</v>
      </c>
      <c r="AZ41" s="151" t="s">
        <v>30</v>
      </c>
      <c r="BA41" s="158" t="s">
        <v>30</v>
      </c>
      <c r="BB41" s="152" t="s">
        <v>30</v>
      </c>
      <c r="BC41" s="151" t="s">
        <v>30</v>
      </c>
      <c r="BD41" s="151" t="s">
        <v>30</v>
      </c>
      <c r="BE41" s="188" t="s">
        <v>30</v>
      </c>
      <c r="BF41" s="157" t="s">
        <v>30</v>
      </c>
      <c r="BG41" s="151" t="s">
        <v>30</v>
      </c>
      <c r="BH41" s="151" t="s">
        <v>30</v>
      </c>
      <c r="BI41" s="188" t="s">
        <v>30</v>
      </c>
      <c r="BJ41" s="157" t="s">
        <v>30</v>
      </c>
      <c r="BK41" s="151" t="s">
        <v>30</v>
      </c>
      <c r="BL41" s="151" t="s">
        <v>30</v>
      </c>
      <c r="BM41" s="170" t="s">
        <v>79</v>
      </c>
      <c r="BN41" s="152"/>
      <c r="BO41" s="160"/>
      <c r="BP41" s="151" t="s">
        <v>30</v>
      </c>
      <c r="BQ41" s="170" t="s">
        <v>75</v>
      </c>
      <c r="BR41" s="157" t="s">
        <v>30</v>
      </c>
      <c r="BS41" s="151" t="s">
        <v>30</v>
      </c>
      <c r="BT41" s="151" t="s">
        <v>30</v>
      </c>
      <c r="BU41" s="178">
        <v>46424</v>
      </c>
      <c r="BV41" s="99"/>
    </row>
    <row r="42" spans="1:74" s="291" customFormat="1" ht="22.9" customHeight="1">
      <c r="A42" s="268">
        <v>33</v>
      </c>
      <c r="B42" s="77" t="s">
        <v>211</v>
      </c>
      <c r="C42" s="176" t="s">
        <v>309</v>
      </c>
      <c r="D42" s="191">
        <v>71420827</v>
      </c>
      <c r="E42" s="276" t="s">
        <v>315</v>
      </c>
      <c r="F42" s="194" t="s">
        <v>310</v>
      </c>
      <c r="G42" s="194"/>
      <c r="H42" s="183">
        <v>46312</v>
      </c>
      <c r="I42" s="282" t="s">
        <v>185</v>
      </c>
      <c r="J42" s="161" t="s">
        <v>22</v>
      </c>
      <c r="K42" s="159">
        <v>5</v>
      </c>
      <c r="L42" s="160" t="s">
        <v>84</v>
      </c>
      <c r="M42" s="155" t="s">
        <v>70</v>
      </c>
      <c r="N42" s="172" t="s">
        <v>30</v>
      </c>
      <c r="O42" s="166" t="s">
        <v>30</v>
      </c>
      <c r="P42" s="166" t="s">
        <v>30</v>
      </c>
      <c r="Q42" s="282" t="s">
        <v>30</v>
      </c>
      <c r="R42" s="161" t="s">
        <v>22</v>
      </c>
      <c r="S42" s="160">
        <v>5</v>
      </c>
      <c r="T42" s="160" t="s">
        <v>84</v>
      </c>
      <c r="U42" s="155" t="s">
        <v>70</v>
      </c>
      <c r="V42" s="165" t="s">
        <v>22</v>
      </c>
      <c r="W42" s="166">
        <v>5</v>
      </c>
      <c r="X42" s="167" t="s">
        <v>84</v>
      </c>
      <c r="Y42" s="202" t="s">
        <v>72</v>
      </c>
      <c r="Z42" s="161" t="s">
        <v>22</v>
      </c>
      <c r="AA42" s="160">
        <v>5</v>
      </c>
      <c r="AB42" s="160" t="s">
        <v>84</v>
      </c>
      <c r="AC42" s="155" t="s">
        <v>70</v>
      </c>
      <c r="AD42" s="159" t="s">
        <v>22</v>
      </c>
      <c r="AE42" s="160">
        <v>5</v>
      </c>
      <c r="AF42" s="160" t="s">
        <v>84</v>
      </c>
      <c r="AG42" s="169" t="s">
        <v>71</v>
      </c>
      <c r="AH42" s="161" t="s">
        <v>22</v>
      </c>
      <c r="AI42" s="160">
        <v>5</v>
      </c>
      <c r="AJ42" s="160" t="s">
        <v>84</v>
      </c>
      <c r="AK42" s="289" t="s">
        <v>74</v>
      </c>
      <c r="AL42" s="168"/>
      <c r="AM42" s="160"/>
      <c r="AN42" s="167"/>
      <c r="AO42" s="155"/>
      <c r="AP42" s="161"/>
      <c r="AQ42" s="160"/>
      <c r="AR42" s="160"/>
      <c r="AS42" s="170"/>
      <c r="AT42" s="161"/>
      <c r="AU42" s="160"/>
      <c r="AV42" s="160"/>
      <c r="AW42" s="163"/>
      <c r="AX42" s="161" t="s">
        <v>22</v>
      </c>
      <c r="AY42" s="160">
        <v>5</v>
      </c>
      <c r="AZ42" s="160" t="s">
        <v>84</v>
      </c>
      <c r="BA42" s="155">
        <v>46810</v>
      </c>
      <c r="BB42" s="172" t="s">
        <v>30</v>
      </c>
      <c r="BC42" s="166" t="s">
        <v>30</v>
      </c>
      <c r="BD42" s="166" t="s">
        <v>30</v>
      </c>
      <c r="BE42" s="171">
        <v>46503</v>
      </c>
      <c r="BF42" s="210" t="s">
        <v>30</v>
      </c>
      <c r="BG42" s="166" t="s">
        <v>30</v>
      </c>
      <c r="BH42" s="166" t="s">
        <v>30</v>
      </c>
      <c r="BI42" s="279">
        <v>46821</v>
      </c>
      <c r="BJ42" s="210" t="s">
        <v>30</v>
      </c>
      <c r="BK42" s="166" t="s">
        <v>30</v>
      </c>
      <c r="BL42" s="166" t="s">
        <v>30</v>
      </c>
      <c r="BM42" s="166" t="s">
        <v>30</v>
      </c>
      <c r="BN42" s="159" t="s">
        <v>22</v>
      </c>
      <c r="BO42" s="160">
        <v>5</v>
      </c>
      <c r="BP42" s="160" t="s">
        <v>84</v>
      </c>
      <c r="BQ42" s="155">
        <v>46489</v>
      </c>
      <c r="BR42" s="161" t="s">
        <v>22</v>
      </c>
      <c r="BS42" s="160">
        <v>4.5</v>
      </c>
      <c r="BT42" s="160" t="s">
        <v>84</v>
      </c>
      <c r="BU42" s="278">
        <v>46908</v>
      </c>
      <c r="BV42" s="290"/>
    </row>
    <row r="43" spans="1:74" s="291" customFormat="1" ht="22.9" hidden="1" customHeight="1">
      <c r="A43" s="268">
        <v>34</v>
      </c>
      <c r="B43" s="77" t="s">
        <v>211</v>
      </c>
      <c r="C43" s="176" t="s">
        <v>334</v>
      </c>
      <c r="D43" s="191">
        <v>5829529</v>
      </c>
      <c r="E43" s="276" t="s">
        <v>335</v>
      </c>
      <c r="F43" s="194" t="s">
        <v>272</v>
      </c>
      <c r="G43" s="194"/>
      <c r="H43" s="183">
        <v>46428</v>
      </c>
      <c r="I43" s="282" t="s">
        <v>396</v>
      </c>
      <c r="J43" s="161" t="s">
        <v>22</v>
      </c>
      <c r="K43" s="159">
        <v>5</v>
      </c>
      <c r="L43" s="160" t="s">
        <v>84</v>
      </c>
      <c r="M43" s="155" t="s">
        <v>70</v>
      </c>
      <c r="N43" s="172" t="s">
        <v>30</v>
      </c>
      <c r="O43" s="166" t="s">
        <v>30</v>
      </c>
      <c r="P43" s="166" t="s">
        <v>30</v>
      </c>
      <c r="Q43" s="282" t="s">
        <v>30</v>
      </c>
      <c r="R43" s="161" t="s">
        <v>22</v>
      </c>
      <c r="S43" s="160">
        <v>5</v>
      </c>
      <c r="T43" s="160" t="s">
        <v>84</v>
      </c>
      <c r="U43" s="155" t="s">
        <v>70</v>
      </c>
      <c r="V43" s="159" t="s">
        <v>22</v>
      </c>
      <c r="W43" s="160">
        <v>5</v>
      </c>
      <c r="X43" s="160" t="s">
        <v>84</v>
      </c>
      <c r="Y43" s="171" t="s">
        <v>70</v>
      </c>
      <c r="Z43" s="161" t="s">
        <v>22</v>
      </c>
      <c r="AA43" s="160">
        <v>5</v>
      </c>
      <c r="AB43" s="160" t="s">
        <v>84</v>
      </c>
      <c r="AC43" s="155" t="s">
        <v>70</v>
      </c>
      <c r="AD43" s="159" t="s">
        <v>22</v>
      </c>
      <c r="AE43" s="160">
        <v>5</v>
      </c>
      <c r="AF43" s="160" t="s">
        <v>84</v>
      </c>
      <c r="AG43" s="169" t="s">
        <v>71</v>
      </c>
      <c r="AH43" s="161" t="s">
        <v>22</v>
      </c>
      <c r="AI43" s="160">
        <v>5</v>
      </c>
      <c r="AJ43" s="160" t="s">
        <v>84</v>
      </c>
      <c r="AK43" s="289" t="s">
        <v>74</v>
      </c>
      <c r="AL43" s="161"/>
      <c r="AM43" s="160"/>
      <c r="AN43" s="160"/>
      <c r="AO43" s="155"/>
      <c r="AP43" s="161"/>
      <c r="AQ43" s="160"/>
      <c r="AR43" s="160"/>
      <c r="AS43" s="170"/>
      <c r="AT43" s="161"/>
      <c r="AU43" s="160"/>
      <c r="AV43" s="160"/>
      <c r="AW43" s="163"/>
      <c r="AX43" s="210" t="s">
        <v>30</v>
      </c>
      <c r="AY43" s="166" t="s">
        <v>30</v>
      </c>
      <c r="AZ43" s="166" t="s">
        <v>30</v>
      </c>
      <c r="BA43" s="155">
        <v>46670</v>
      </c>
      <c r="BB43" s="159" t="s">
        <v>22</v>
      </c>
      <c r="BC43" s="160">
        <v>5</v>
      </c>
      <c r="BD43" s="160" t="s">
        <v>84</v>
      </c>
      <c r="BE43" s="171">
        <v>46797</v>
      </c>
      <c r="BF43" s="161" t="s">
        <v>22</v>
      </c>
      <c r="BG43" s="160">
        <v>5</v>
      </c>
      <c r="BH43" s="160" t="s">
        <v>84</v>
      </c>
      <c r="BI43" s="279">
        <v>47891</v>
      </c>
      <c r="BJ43" s="161" t="s">
        <v>22</v>
      </c>
      <c r="BK43" s="160">
        <v>5</v>
      </c>
      <c r="BL43" s="160" t="s">
        <v>84</v>
      </c>
      <c r="BM43" s="170" t="s">
        <v>70</v>
      </c>
      <c r="BN43" s="159" t="s">
        <v>22</v>
      </c>
      <c r="BO43" s="160">
        <v>5</v>
      </c>
      <c r="BP43" s="160" t="s">
        <v>84</v>
      </c>
      <c r="BQ43" s="155">
        <v>46430</v>
      </c>
      <c r="BR43" s="161" t="s">
        <v>22</v>
      </c>
      <c r="BS43" s="160">
        <v>5</v>
      </c>
      <c r="BT43" s="160" t="s">
        <v>84</v>
      </c>
      <c r="BU43" s="155">
        <v>46795</v>
      </c>
      <c r="BV43" s="290"/>
    </row>
    <row r="44" spans="1:74" s="291" customFormat="1" ht="22.9" customHeight="1">
      <c r="A44" s="268">
        <v>35</v>
      </c>
      <c r="B44" s="185" t="s">
        <v>211</v>
      </c>
      <c r="C44" s="176" t="s">
        <v>336</v>
      </c>
      <c r="D44" s="191">
        <v>91541046</v>
      </c>
      <c r="E44" s="276" t="s">
        <v>337</v>
      </c>
      <c r="F44" s="194" t="s">
        <v>254</v>
      </c>
      <c r="G44" s="194"/>
      <c r="H44" s="183">
        <v>46435</v>
      </c>
      <c r="I44" s="282" t="s">
        <v>185</v>
      </c>
      <c r="J44" s="161" t="s">
        <v>22</v>
      </c>
      <c r="K44" s="159">
        <v>5</v>
      </c>
      <c r="L44" s="160" t="s">
        <v>84</v>
      </c>
      <c r="M44" s="155" t="s">
        <v>70</v>
      </c>
      <c r="N44" s="172" t="s">
        <v>30</v>
      </c>
      <c r="O44" s="166" t="s">
        <v>30</v>
      </c>
      <c r="P44" s="166" t="s">
        <v>30</v>
      </c>
      <c r="Q44" s="282" t="s">
        <v>30</v>
      </c>
      <c r="R44" s="161" t="s">
        <v>22</v>
      </c>
      <c r="S44" s="160">
        <v>5</v>
      </c>
      <c r="T44" s="160" t="s">
        <v>84</v>
      </c>
      <c r="U44" s="187" t="s">
        <v>70</v>
      </c>
      <c r="V44" s="159" t="s">
        <v>22</v>
      </c>
      <c r="W44" s="160">
        <v>5</v>
      </c>
      <c r="X44" s="160" t="s">
        <v>84</v>
      </c>
      <c r="Y44" s="202" t="s">
        <v>72</v>
      </c>
      <c r="Z44" s="161" t="s">
        <v>22</v>
      </c>
      <c r="AA44" s="160">
        <v>5</v>
      </c>
      <c r="AB44" s="160" t="s">
        <v>84</v>
      </c>
      <c r="AC44" s="155" t="s">
        <v>70</v>
      </c>
      <c r="AD44" s="159" t="s">
        <v>22</v>
      </c>
      <c r="AE44" s="160">
        <v>5</v>
      </c>
      <c r="AF44" s="160" t="s">
        <v>84</v>
      </c>
      <c r="AG44" s="169" t="s">
        <v>71</v>
      </c>
      <c r="AH44" s="161" t="s">
        <v>22</v>
      </c>
      <c r="AI44" s="160">
        <v>5</v>
      </c>
      <c r="AJ44" s="160" t="s">
        <v>84</v>
      </c>
      <c r="AK44" s="170" t="s">
        <v>75</v>
      </c>
      <c r="AL44" s="161"/>
      <c r="AM44" s="160"/>
      <c r="AN44" s="160"/>
      <c r="AO44" s="155"/>
      <c r="AP44" s="161"/>
      <c r="AQ44" s="160"/>
      <c r="AR44" s="160"/>
      <c r="AS44" s="170"/>
      <c r="AT44" s="161"/>
      <c r="AU44" s="160"/>
      <c r="AV44" s="160"/>
      <c r="AW44" s="163"/>
      <c r="AX44" s="210" t="s">
        <v>30</v>
      </c>
      <c r="AY44" s="166" t="s">
        <v>30</v>
      </c>
      <c r="AZ44" s="166" t="s">
        <v>30</v>
      </c>
      <c r="BA44" s="155">
        <v>46690</v>
      </c>
      <c r="BB44" s="172"/>
      <c r="BC44" s="160"/>
      <c r="BD44" s="166"/>
      <c r="BE44" s="169" t="s">
        <v>75</v>
      </c>
      <c r="BF44" s="161" t="s">
        <v>22</v>
      </c>
      <c r="BG44" s="160">
        <v>5</v>
      </c>
      <c r="BH44" s="160" t="s">
        <v>84</v>
      </c>
      <c r="BI44" s="169" t="s">
        <v>75</v>
      </c>
      <c r="BJ44" s="161" t="s">
        <v>22</v>
      </c>
      <c r="BK44" s="160">
        <v>5</v>
      </c>
      <c r="BL44" s="160" t="s">
        <v>84</v>
      </c>
      <c r="BM44" s="170" t="s">
        <v>70</v>
      </c>
      <c r="BN44" s="159" t="s">
        <v>22</v>
      </c>
      <c r="BO44" s="160">
        <v>5</v>
      </c>
      <c r="BP44" s="160" t="s">
        <v>84</v>
      </c>
      <c r="BQ44" s="155">
        <v>46441</v>
      </c>
      <c r="BR44" s="161" t="s">
        <v>22</v>
      </c>
      <c r="BS44" s="160">
        <v>5</v>
      </c>
      <c r="BT44" s="160" t="s">
        <v>84</v>
      </c>
      <c r="BU44" s="155">
        <v>46806</v>
      </c>
      <c r="BV44" s="290"/>
    </row>
    <row r="45" spans="1:74" s="291" customFormat="1" ht="25.9" hidden="1" customHeight="1">
      <c r="A45" s="268">
        <v>36</v>
      </c>
      <c r="B45" s="185" t="s">
        <v>211</v>
      </c>
      <c r="C45" s="176" t="s">
        <v>339</v>
      </c>
      <c r="D45" s="191">
        <v>1121913534</v>
      </c>
      <c r="E45" s="276" t="s">
        <v>340</v>
      </c>
      <c r="F45" s="194" t="s">
        <v>369</v>
      </c>
      <c r="G45" s="198"/>
      <c r="H45" s="183">
        <v>46445</v>
      </c>
      <c r="I45" s="282" t="s">
        <v>353</v>
      </c>
      <c r="J45" s="161" t="s">
        <v>22</v>
      </c>
      <c r="K45" s="159">
        <v>5</v>
      </c>
      <c r="L45" s="160" t="s">
        <v>84</v>
      </c>
      <c r="M45" s="187" t="s">
        <v>70</v>
      </c>
      <c r="N45" s="159" t="s">
        <v>22</v>
      </c>
      <c r="O45" s="160">
        <v>5</v>
      </c>
      <c r="P45" s="167" t="s">
        <v>84</v>
      </c>
      <c r="Q45" s="249" t="s">
        <v>69</v>
      </c>
      <c r="R45" s="161" t="s">
        <v>22</v>
      </c>
      <c r="S45" s="160">
        <v>5</v>
      </c>
      <c r="T45" s="160" t="s">
        <v>84</v>
      </c>
      <c r="U45" s="187" t="s">
        <v>70</v>
      </c>
      <c r="V45" s="172" t="s">
        <v>30</v>
      </c>
      <c r="W45" s="166" t="s">
        <v>30</v>
      </c>
      <c r="X45" s="166" t="s">
        <v>30</v>
      </c>
      <c r="Y45" s="282" t="s">
        <v>30</v>
      </c>
      <c r="Z45" s="210" t="s">
        <v>30</v>
      </c>
      <c r="AA45" s="166" t="s">
        <v>30</v>
      </c>
      <c r="AB45" s="166" t="s">
        <v>30</v>
      </c>
      <c r="AC45" s="281" t="s">
        <v>30</v>
      </c>
      <c r="AD45" s="159" t="s">
        <v>22</v>
      </c>
      <c r="AE45" s="160">
        <v>5</v>
      </c>
      <c r="AF45" s="160" t="s">
        <v>84</v>
      </c>
      <c r="AG45" s="169" t="s">
        <v>71</v>
      </c>
      <c r="AH45" s="161" t="s">
        <v>22</v>
      </c>
      <c r="AI45" s="160">
        <v>5</v>
      </c>
      <c r="AJ45" s="160" t="s">
        <v>84</v>
      </c>
      <c r="AK45" s="289" t="s">
        <v>74</v>
      </c>
      <c r="AL45" s="161"/>
      <c r="AM45" s="160"/>
      <c r="AN45" s="160"/>
      <c r="AO45" s="155"/>
      <c r="AP45" s="161"/>
      <c r="AQ45" s="160"/>
      <c r="AR45" s="160"/>
      <c r="AS45" s="170"/>
      <c r="AT45" s="161"/>
      <c r="AU45" s="160"/>
      <c r="AV45" s="160"/>
      <c r="AW45" s="163"/>
      <c r="AX45" s="210" t="s">
        <v>30</v>
      </c>
      <c r="AY45" s="166" t="s">
        <v>30</v>
      </c>
      <c r="AZ45" s="166" t="s">
        <v>30</v>
      </c>
      <c r="BA45" s="281" t="s">
        <v>30</v>
      </c>
      <c r="BB45" s="172" t="s">
        <v>30</v>
      </c>
      <c r="BC45" s="166" t="s">
        <v>30</v>
      </c>
      <c r="BD45" s="166" t="s">
        <v>30</v>
      </c>
      <c r="BE45" s="282" t="s">
        <v>30</v>
      </c>
      <c r="BF45" s="210" t="s">
        <v>30</v>
      </c>
      <c r="BG45" s="166" t="s">
        <v>30</v>
      </c>
      <c r="BH45" s="166" t="s">
        <v>30</v>
      </c>
      <c r="BI45" s="282" t="s">
        <v>30</v>
      </c>
      <c r="BJ45" s="210" t="s">
        <v>30</v>
      </c>
      <c r="BK45" s="166" t="s">
        <v>30</v>
      </c>
      <c r="BL45" s="166" t="s">
        <v>30</v>
      </c>
      <c r="BM45" s="281" t="s">
        <v>30</v>
      </c>
      <c r="BN45" s="159" t="s">
        <v>22</v>
      </c>
      <c r="BO45" s="160" t="s">
        <v>343</v>
      </c>
      <c r="BP45" s="160" t="s">
        <v>84</v>
      </c>
      <c r="BQ45" s="155">
        <v>46445</v>
      </c>
      <c r="BR45" s="161" t="s">
        <v>22</v>
      </c>
      <c r="BS45" s="160">
        <v>5</v>
      </c>
      <c r="BT45" s="160" t="s">
        <v>84</v>
      </c>
      <c r="BU45" s="155">
        <v>46811</v>
      </c>
      <c r="BV45" s="290"/>
    </row>
    <row r="46" spans="1:74" s="291" customFormat="1" ht="25.9" customHeight="1">
      <c r="A46" s="268">
        <v>37</v>
      </c>
      <c r="B46" s="185" t="s">
        <v>211</v>
      </c>
      <c r="C46" s="176" t="s">
        <v>341</v>
      </c>
      <c r="D46" s="191">
        <v>74240902</v>
      </c>
      <c r="E46" s="276" t="s">
        <v>360</v>
      </c>
      <c r="F46" s="194" t="s">
        <v>342</v>
      </c>
      <c r="G46" s="194"/>
      <c r="H46" s="196">
        <v>46519</v>
      </c>
      <c r="I46" s="282" t="s">
        <v>185</v>
      </c>
      <c r="J46" s="161" t="s">
        <v>22</v>
      </c>
      <c r="K46" s="159">
        <v>5</v>
      </c>
      <c r="L46" s="160" t="s">
        <v>84</v>
      </c>
      <c r="M46" s="187" t="s">
        <v>71</v>
      </c>
      <c r="N46" s="172" t="s">
        <v>30</v>
      </c>
      <c r="O46" s="166" t="s">
        <v>30</v>
      </c>
      <c r="P46" s="166" t="s">
        <v>30</v>
      </c>
      <c r="Q46" s="282" t="s">
        <v>30</v>
      </c>
      <c r="R46" s="161" t="s">
        <v>22</v>
      </c>
      <c r="S46" s="160">
        <v>5</v>
      </c>
      <c r="T46" s="160" t="s">
        <v>84</v>
      </c>
      <c r="U46" s="187" t="s">
        <v>71</v>
      </c>
      <c r="V46" s="172" t="s">
        <v>30</v>
      </c>
      <c r="W46" s="166" t="s">
        <v>30</v>
      </c>
      <c r="X46" s="166" t="s">
        <v>30</v>
      </c>
      <c r="Y46" s="282" t="s">
        <v>30</v>
      </c>
      <c r="Z46" s="161" t="s">
        <v>22</v>
      </c>
      <c r="AA46" s="160">
        <v>5</v>
      </c>
      <c r="AB46" s="160" t="s">
        <v>84</v>
      </c>
      <c r="AC46" s="155" t="s">
        <v>70</v>
      </c>
      <c r="AD46" s="159" t="s">
        <v>22</v>
      </c>
      <c r="AE46" s="160">
        <v>5</v>
      </c>
      <c r="AF46" s="160" t="s">
        <v>84</v>
      </c>
      <c r="AG46" s="169" t="s">
        <v>71</v>
      </c>
      <c r="AH46" s="161" t="s">
        <v>22</v>
      </c>
      <c r="AI46" s="160">
        <v>5</v>
      </c>
      <c r="AJ46" s="160" t="s">
        <v>84</v>
      </c>
      <c r="AK46" s="277" t="s">
        <v>74</v>
      </c>
      <c r="AL46" s="161"/>
      <c r="AM46" s="160"/>
      <c r="AN46" s="160"/>
      <c r="AO46" s="155"/>
      <c r="AP46" s="161"/>
      <c r="AQ46" s="160"/>
      <c r="AR46" s="160"/>
      <c r="AS46" s="170"/>
      <c r="AT46" s="161"/>
      <c r="AU46" s="160"/>
      <c r="AV46" s="160"/>
      <c r="AW46" s="163"/>
      <c r="AX46" s="210" t="s">
        <v>30</v>
      </c>
      <c r="AY46" s="166" t="s">
        <v>30</v>
      </c>
      <c r="AZ46" s="166" t="s">
        <v>30</v>
      </c>
      <c r="BA46" s="281" t="s">
        <v>30</v>
      </c>
      <c r="BB46" s="172" t="s">
        <v>30</v>
      </c>
      <c r="BC46" s="166" t="s">
        <v>30</v>
      </c>
      <c r="BD46" s="166" t="s">
        <v>30</v>
      </c>
      <c r="BE46" s="282" t="s">
        <v>30</v>
      </c>
      <c r="BF46" s="210" t="s">
        <v>30</v>
      </c>
      <c r="BG46" s="166" t="s">
        <v>30</v>
      </c>
      <c r="BH46" s="166" t="s">
        <v>30</v>
      </c>
      <c r="BI46" s="282" t="s">
        <v>30</v>
      </c>
      <c r="BJ46" s="210" t="s">
        <v>30</v>
      </c>
      <c r="BK46" s="166" t="s">
        <v>30</v>
      </c>
      <c r="BL46" s="166" t="s">
        <v>30</v>
      </c>
      <c r="BM46" s="281" t="s">
        <v>30</v>
      </c>
      <c r="BN46" s="159" t="s">
        <v>22</v>
      </c>
      <c r="BO46" s="160" t="s">
        <v>344</v>
      </c>
      <c r="BP46" s="160" t="s">
        <v>84</v>
      </c>
      <c r="BQ46" s="155">
        <v>46463</v>
      </c>
      <c r="BR46" s="161" t="s">
        <v>22</v>
      </c>
      <c r="BS46" s="160">
        <v>4.5</v>
      </c>
      <c r="BT46" s="160" t="s">
        <v>84</v>
      </c>
      <c r="BU46" s="155">
        <v>46936</v>
      </c>
      <c r="BV46" s="290"/>
    </row>
    <row r="47" spans="1:74" s="291" customFormat="1" ht="25.9" customHeight="1">
      <c r="A47" s="268">
        <v>38</v>
      </c>
      <c r="B47" s="185" t="s">
        <v>211</v>
      </c>
      <c r="C47" s="176" t="s">
        <v>345</v>
      </c>
      <c r="D47" s="191">
        <v>1098801262</v>
      </c>
      <c r="E47" s="276" t="s">
        <v>346</v>
      </c>
      <c r="F47" s="194" t="s">
        <v>363</v>
      </c>
      <c r="G47" s="198"/>
      <c r="H47" s="183">
        <v>46467</v>
      </c>
      <c r="I47" s="282" t="s">
        <v>185</v>
      </c>
      <c r="J47" s="161" t="s">
        <v>22</v>
      </c>
      <c r="K47" s="159">
        <v>5</v>
      </c>
      <c r="L47" s="160" t="s">
        <v>84</v>
      </c>
      <c r="M47" s="187" t="s">
        <v>71</v>
      </c>
      <c r="N47" s="159" t="s">
        <v>22</v>
      </c>
      <c r="O47" s="162">
        <v>5</v>
      </c>
      <c r="P47" s="167" t="s">
        <v>84</v>
      </c>
      <c r="Q47" s="254" t="s">
        <v>71</v>
      </c>
      <c r="R47" s="161" t="s">
        <v>22</v>
      </c>
      <c r="S47" s="160">
        <v>5</v>
      </c>
      <c r="T47" s="160" t="s">
        <v>84</v>
      </c>
      <c r="U47" s="187" t="s">
        <v>71</v>
      </c>
      <c r="V47" s="159" t="s">
        <v>22</v>
      </c>
      <c r="W47" s="160">
        <v>5</v>
      </c>
      <c r="X47" s="160" t="s">
        <v>84</v>
      </c>
      <c r="Y47" s="171" t="s">
        <v>316</v>
      </c>
      <c r="Z47" s="210" t="s">
        <v>30</v>
      </c>
      <c r="AA47" s="166" t="s">
        <v>30</v>
      </c>
      <c r="AB47" s="166" t="s">
        <v>30</v>
      </c>
      <c r="AC47" s="281" t="s">
        <v>30</v>
      </c>
      <c r="AD47" s="172" t="s">
        <v>30</v>
      </c>
      <c r="AE47" s="166" t="s">
        <v>30</v>
      </c>
      <c r="AF47" s="166" t="s">
        <v>30</v>
      </c>
      <c r="AG47" s="282" t="s">
        <v>30</v>
      </c>
      <c r="AH47" s="210" t="s">
        <v>22</v>
      </c>
      <c r="AI47" s="160">
        <v>5</v>
      </c>
      <c r="AJ47" s="160" t="s">
        <v>84</v>
      </c>
      <c r="AK47" s="298" t="s">
        <v>74</v>
      </c>
      <c r="AL47" s="161"/>
      <c r="AM47" s="160"/>
      <c r="AN47" s="160"/>
      <c r="AO47" s="155"/>
      <c r="AP47" s="161"/>
      <c r="AQ47" s="160"/>
      <c r="AR47" s="160"/>
      <c r="AS47" s="170"/>
      <c r="AT47" s="161"/>
      <c r="AU47" s="160"/>
      <c r="AV47" s="160"/>
      <c r="AW47" s="163"/>
      <c r="AX47" s="210" t="s">
        <v>30</v>
      </c>
      <c r="AY47" s="166" t="s">
        <v>30</v>
      </c>
      <c r="AZ47" s="166" t="s">
        <v>30</v>
      </c>
      <c r="BA47" s="281" t="s">
        <v>30</v>
      </c>
      <c r="BB47" s="172" t="s">
        <v>30</v>
      </c>
      <c r="BC47" s="166" t="s">
        <v>30</v>
      </c>
      <c r="BD47" s="166" t="s">
        <v>30</v>
      </c>
      <c r="BE47" s="282" t="s">
        <v>30</v>
      </c>
      <c r="BF47" s="210" t="s">
        <v>30</v>
      </c>
      <c r="BG47" s="166" t="s">
        <v>30</v>
      </c>
      <c r="BH47" s="166" t="s">
        <v>30</v>
      </c>
      <c r="BI47" s="282" t="s">
        <v>30</v>
      </c>
      <c r="BJ47" s="285" t="s">
        <v>22</v>
      </c>
      <c r="BK47" s="166">
        <v>5</v>
      </c>
      <c r="BL47" s="166" t="s">
        <v>84</v>
      </c>
      <c r="BM47" s="170" t="s">
        <v>72</v>
      </c>
      <c r="BN47" s="159" t="s">
        <v>22</v>
      </c>
      <c r="BO47" s="160">
        <v>5</v>
      </c>
      <c r="BP47" s="160" t="s">
        <v>84</v>
      </c>
      <c r="BQ47" s="155">
        <v>46468</v>
      </c>
      <c r="BR47" s="161" t="s">
        <v>22</v>
      </c>
      <c r="BS47" s="160">
        <v>5</v>
      </c>
      <c r="BT47" s="160" t="s">
        <v>84</v>
      </c>
      <c r="BU47" s="155">
        <v>46834</v>
      </c>
      <c r="BV47" s="290"/>
    </row>
    <row r="48" spans="1:74" s="15" customFormat="1" ht="25.9" hidden="1" customHeight="1">
      <c r="A48" s="53">
        <v>39</v>
      </c>
      <c r="B48" s="185" t="s">
        <v>211</v>
      </c>
      <c r="C48" s="176" t="s">
        <v>347</v>
      </c>
      <c r="D48" s="191">
        <v>1118570055</v>
      </c>
      <c r="E48" s="275" t="s">
        <v>350</v>
      </c>
      <c r="F48" s="198" t="s">
        <v>369</v>
      </c>
      <c r="G48" s="198"/>
      <c r="H48" s="183">
        <v>46465</v>
      </c>
      <c r="I48" s="184" t="s">
        <v>353</v>
      </c>
      <c r="J48" s="161" t="s">
        <v>22</v>
      </c>
      <c r="K48" s="159" t="s">
        <v>329</v>
      </c>
      <c r="L48" s="160" t="s">
        <v>84</v>
      </c>
      <c r="M48" s="187" t="s">
        <v>71</v>
      </c>
      <c r="N48" s="159" t="s">
        <v>22</v>
      </c>
      <c r="O48" s="162">
        <v>5</v>
      </c>
      <c r="P48" s="167" t="s">
        <v>84</v>
      </c>
      <c r="Q48" s="254" t="s">
        <v>71</v>
      </c>
      <c r="R48" s="161" t="s">
        <v>22</v>
      </c>
      <c r="S48" s="160">
        <v>4</v>
      </c>
      <c r="T48" s="160" t="s">
        <v>84</v>
      </c>
      <c r="U48" s="187" t="s">
        <v>71</v>
      </c>
      <c r="V48" s="159" t="s">
        <v>22</v>
      </c>
      <c r="W48" s="160">
        <v>5</v>
      </c>
      <c r="X48" s="160" t="s">
        <v>84</v>
      </c>
      <c r="Y48" s="171" t="s">
        <v>316</v>
      </c>
      <c r="Z48" s="157" t="s">
        <v>30</v>
      </c>
      <c r="AA48" s="151" t="s">
        <v>30</v>
      </c>
      <c r="AB48" s="151" t="s">
        <v>30</v>
      </c>
      <c r="AC48" s="158" t="s">
        <v>30</v>
      </c>
      <c r="AD48" s="152" t="s">
        <v>30</v>
      </c>
      <c r="AE48" s="151" t="s">
        <v>30</v>
      </c>
      <c r="AF48" s="151" t="s">
        <v>30</v>
      </c>
      <c r="AG48" s="188" t="s">
        <v>30</v>
      </c>
      <c r="AH48" s="157" t="s">
        <v>30</v>
      </c>
      <c r="AI48" s="151" t="s">
        <v>30</v>
      </c>
      <c r="AJ48" s="151" t="s">
        <v>30</v>
      </c>
      <c r="AK48" s="158" t="s">
        <v>30</v>
      </c>
      <c r="AL48" s="60"/>
      <c r="AM48" s="59"/>
      <c r="AN48" s="59"/>
      <c r="AO48" s="155"/>
      <c r="AP48" s="60"/>
      <c r="AQ48" s="59"/>
      <c r="AR48" s="59"/>
      <c r="AS48" s="170"/>
      <c r="AT48" s="60"/>
      <c r="AU48" s="59"/>
      <c r="AV48" s="59"/>
      <c r="AW48" s="163"/>
      <c r="AX48" s="157" t="s">
        <v>30</v>
      </c>
      <c r="AY48" s="151" t="s">
        <v>30</v>
      </c>
      <c r="AZ48" s="151" t="s">
        <v>30</v>
      </c>
      <c r="BA48" s="158" t="s">
        <v>30</v>
      </c>
      <c r="BB48" s="152" t="s">
        <v>30</v>
      </c>
      <c r="BC48" s="151" t="s">
        <v>30</v>
      </c>
      <c r="BD48" s="151" t="s">
        <v>30</v>
      </c>
      <c r="BE48" s="188" t="s">
        <v>30</v>
      </c>
      <c r="BF48" s="157" t="s">
        <v>30</v>
      </c>
      <c r="BG48" s="151" t="s">
        <v>30</v>
      </c>
      <c r="BH48" s="151" t="s">
        <v>30</v>
      </c>
      <c r="BI48" s="188" t="s">
        <v>30</v>
      </c>
      <c r="BJ48" s="271" t="s">
        <v>22</v>
      </c>
      <c r="BK48" s="151">
        <v>5</v>
      </c>
      <c r="BL48" s="151" t="s">
        <v>84</v>
      </c>
      <c r="BM48" s="170" t="s">
        <v>72</v>
      </c>
      <c r="BN48" s="159" t="s">
        <v>22</v>
      </c>
      <c r="BO48" s="160">
        <v>5</v>
      </c>
      <c r="BP48" s="160" t="s">
        <v>84</v>
      </c>
      <c r="BQ48" s="154">
        <v>46422</v>
      </c>
      <c r="BR48" s="161" t="s">
        <v>22</v>
      </c>
      <c r="BS48" s="160">
        <v>5</v>
      </c>
      <c r="BT48" s="160" t="s">
        <v>84</v>
      </c>
      <c r="BU48" s="154">
        <v>46795</v>
      </c>
      <c r="BV48" s="99"/>
    </row>
    <row r="49" spans="1:74" s="15" customFormat="1" ht="25.9" hidden="1" customHeight="1">
      <c r="A49" s="53">
        <v>40</v>
      </c>
      <c r="B49" s="185" t="s">
        <v>211</v>
      </c>
      <c r="C49" s="176" t="s">
        <v>348</v>
      </c>
      <c r="D49" s="191">
        <v>1075297595</v>
      </c>
      <c r="E49" t="s">
        <v>349</v>
      </c>
      <c r="F49" s="194" t="s">
        <v>250</v>
      </c>
      <c r="G49" s="194"/>
      <c r="H49" s="183">
        <v>46470</v>
      </c>
      <c r="I49" s="184" t="s">
        <v>353</v>
      </c>
      <c r="J49" s="161" t="s">
        <v>22</v>
      </c>
      <c r="K49" s="159" t="s">
        <v>329</v>
      </c>
      <c r="L49" s="160" t="s">
        <v>84</v>
      </c>
      <c r="M49" s="187" t="s">
        <v>71</v>
      </c>
      <c r="N49" s="159" t="s">
        <v>22</v>
      </c>
      <c r="O49" s="162">
        <v>5</v>
      </c>
      <c r="P49" s="167" t="s">
        <v>84</v>
      </c>
      <c r="Q49" s="254" t="s">
        <v>71</v>
      </c>
      <c r="R49" s="161" t="s">
        <v>22</v>
      </c>
      <c r="S49" s="160" t="s">
        <v>329</v>
      </c>
      <c r="T49" s="160" t="s">
        <v>84</v>
      </c>
      <c r="U49" s="187" t="s">
        <v>71</v>
      </c>
      <c r="V49" s="159" t="s">
        <v>22</v>
      </c>
      <c r="W49" s="160">
        <v>5</v>
      </c>
      <c r="X49" s="160" t="s">
        <v>84</v>
      </c>
      <c r="Y49" s="202" t="s">
        <v>72</v>
      </c>
      <c r="Z49" s="157" t="s">
        <v>30</v>
      </c>
      <c r="AA49" s="151" t="s">
        <v>30</v>
      </c>
      <c r="AB49" s="151" t="s">
        <v>30</v>
      </c>
      <c r="AC49" s="158" t="s">
        <v>30</v>
      </c>
      <c r="AD49" s="152" t="s">
        <v>30</v>
      </c>
      <c r="AE49" s="151" t="s">
        <v>30</v>
      </c>
      <c r="AF49" s="151" t="s">
        <v>30</v>
      </c>
      <c r="AG49" s="188" t="s">
        <v>30</v>
      </c>
      <c r="AH49" s="157" t="s">
        <v>30</v>
      </c>
      <c r="AI49" s="151" t="s">
        <v>30</v>
      </c>
      <c r="AJ49" s="151" t="s">
        <v>30</v>
      </c>
      <c r="AK49" s="158" t="s">
        <v>30</v>
      </c>
      <c r="AL49" s="60"/>
      <c r="AM49" s="59"/>
      <c r="AN49" s="59"/>
      <c r="AO49" s="155"/>
      <c r="AP49" s="60"/>
      <c r="AQ49" s="59"/>
      <c r="AR49" s="59"/>
      <c r="AS49" s="170"/>
      <c r="AT49" s="60"/>
      <c r="AU49" s="59"/>
      <c r="AV49" s="59"/>
      <c r="AW49" s="163"/>
      <c r="AX49" s="157" t="s">
        <v>30</v>
      </c>
      <c r="AY49" s="151" t="s">
        <v>30</v>
      </c>
      <c r="AZ49" s="151" t="s">
        <v>30</v>
      </c>
      <c r="BA49" s="158" t="s">
        <v>30</v>
      </c>
      <c r="BB49" s="152" t="s">
        <v>30</v>
      </c>
      <c r="BC49" s="151" t="s">
        <v>30</v>
      </c>
      <c r="BD49" s="151" t="s">
        <v>30</v>
      </c>
      <c r="BE49" s="188" t="s">
        <v>30</v>
      </c>
      <c r="BF49" s="157" t="s">
        <v>30</v>
      </c>
      <c r="BG49" s="151" t="s">
        <v>30</v>
      </c>
      <c r="BH49" s="151" t="s">
        <v>30</v>
      </c>
      <c r="BI49" s="188" t="s">
        <v>30</v>
      </c>
      <c r="BJ49" s="271" t="s">
        <v>22</v>
      </c>
      <c r="BK49" s="151">
        <v>5</v>
      </c>
      <c r="BL49" s="151" t="s">
        <v>84</v>
      </c>
      <c r="BM49" s="170" t="s">
        <v>72</v>
      </c>
      <c r="BN49" s="159" t="s">
        <v>22</v>
      </c>
      <c r="BO49" s="160" t="s">
        <v>329</v>
      </c>
      <c r="BP49" s="160" t="s">
        <v>84</v>
      </c>
      <c r="BQ49" s="154">
        <v>46469</v>
      </c>
      <c r="BR49" s="161" t="s">
        <v>22</v>
      </c>
      <c r="BS49" s="160" t="s">
        <v>343</v>
      </c>
      <c r="BT49" s="160" t="s">
        <v>84</v>
      </c>
      <c r="BU49" s="154">
        <v>46835</v>
      </c>
      <c r="BV49" s="99"/>
    </row>
    <row r="50" spans="1:74" s="291" customFormat="1" ht="25.9" customHeight="1">
      <c r="A50" s="268">
        <v>41</v>
      </c>
      <c r="B50" s="185" t="s">
        <v>211</v>
      </c>
      <c r="C50" s="176" t="s">
        <v>354</v>
      </c>
      <c r="D50" s="197">
        <v>91283664</v>
      </c>
      <c r="E50" s="276" t="s">
        <v>355</v>
      </c>
      <c r="F50" s="194" t="s">
        <v>254</v>
      </c>
      <c r="G50" s="198"/>
      <c r="H50" s="183">
        <v>46467</v>
      </c>
      <c r="I50" s="282" t="s">
        <v>185</v>
      </c>
      <c r="J50" s="161" t="s">
        <v>22</v>
      </c>
      <c r="K50" s="166">
        <v>5</v>
      </c>
      <c r="L50" s="166" t="s">
        <v>84</v>
      </c>
      <c r="M50" s="211" t="s">
        <v>74</v>
      </c>
      <c r="N50" s="172" t="s">
        <v>30</v>
      </c>
      <c r="O50" s="166" t="s">
        <v>30</v>
      </c>
      <c r="P50" s="166" t="s">
        <v>30</v>
      </c>
      <c r="Q50" s="282" t="s">
        <v>30</v>
      </c>
      <c r="R50" s="210" t="s">
        <v>22</v>
      </c>
      <c r="S50" s="166">
        <v>5</v>
      </c>
      <c r="T50" s="160" t="s">
        <v>84</v>
      </c>
      <c r="U50" s="211" t="s">
        <v>74</v>
      </c>
      <c r="V50" s="172" t="s">
        <v>30</v>
      </c>
      <c r="W50" s="166" t="s">
        <v>30</v>
      </c>
      <c r="X50" s="166" t="s">
        <v>30</v>
      </c>
      <c r="Y50" s="282" t="s">
        <v>30</v>
      </c>
      <c r="Z50" s="210" t="s">
        <v>30</v>
      </c>
      <c r="AA50" s="166" t="s">
        <v>30</v>
      </c>
      <c r="AB50" s="166" t="s">
        <v>30</v>
      </c>
      <c r="AC50" s="281" t="s">
        <v>30</v>
      </c>
      <c r="AD50" s="172" t="s">
        <v>30</v>
      </c>
      <c r="AE50" s="166" t="s">
        <v>30</v>
      </c>
      <c r="AF50" s="166" t="s">
        <v>30</v>
      </c>
      <c r="AG50" s="282" t="s">
        <v>30</v>
      </c>
      <c r="AH50" s="210" t="s">
        <v>22</v>
      </c>
      <c r="AI50" s="160">
        <v>4.5</v>
      </c>
      <c r="AJ50" s="160" t="s">
        <v>84</v>
      </c>
      <c r="AK50" s="170" t="s">
        <v>75</v>
      </c>
      <c r="AL50" s="161"/>
      <c r="AM50" s="160"/>
      <c r="AN50" s="160"/>
      <c r="AO50" s="155"/>
      <c r="AP50" s="161"/>
      <c r="AQ50" s="160"/>
      <c r="AR50" s="160"/>
      <c r="AS50" s="170"/>
      <c r="AT50" s="161"/>
      <c r="AU50" s="160"/>
      <c r="AV50" s="160"/>
      <c r="AW50" s="170"/>
      <c r="AX50" s="210" t="s">
        <v>30</v>
      </c>
      <c r="AY50" s="166" t="s">
        <v>30</v>
      </c>
      <c r="AZ50" s="166" t="s">
        <v>30</v>
      </c>
      <c r="BA50" s="155">
        <v>46829</v>
      </c>
      <c r="BB50" s="172" t="s">
        <v>30</v>
      </c>
      <c r="BC50" s="166" t="s">
        <v>30</v>
      </c>
      <c r="BD50" s="166" t="s">
        <v>30</v>
      </c>
      <c r="BE50" s="171">
        <v>46608</v>
      </c>
      <c r="BF50" s="161" t="s">
        <v>22</v>
      </c>
      <c r="BG50" s="160">
        <v>5</v>
      </c>
      <c r="BH50" s="160" t="s">
        <v>84</v>
      </c>
      <c r="BI50" s="279">
        <v>47989</v>
      </c>
      <c r="BJ50" s="210" t="s">
        <v>30</v>
      </c>
      <c r="BK50" s="166" t="s">
        <v>30</v>
      </c>
      <c r="BL50" s="166" t="s">
        <v>30</v>
      </c>
      <c r="BM50" s="166" t="s">
        <v>30</v>
      </c>
      <c r="BN50" s="159" t="s">
        <v>22</v>
      </c>
      <c r="BO50" s="160">
        <v>5</v>
      </c>
      <c r="BP50" s="160" t="s">
        <v>84</v>
      </c>
      <c r="BQ50" s="155">
        <v>46466</v>
      </c>
      <c r="BR50" s="161" t="s">
        <v>22</v>
      </c>
      <c r="BS50" s="160">
        <v>5</v>
      </c>
      <c r="BT50" s="160" t="s">
        <v>84</v>
      </c>
      <c r="BU50" s="155">
        <v>46466</v>
      </c>
      <c r="BV50" s="290"/>
    </row>
    <row r="51" spans="1:74" s="291" customFormat="1" ht="25.9" customHeight="1">
      <c r="A51" s="268">
        <v>42</v>
      </c>
      <c r="B51" s="185" t="s">
        <v>211</v>
      </c>
      <c r="C51" s="176" t="s">
        <v>356</v>
      </c>
      <c r="D51" s="197">
        <v>1075243024</v>
      </c>
      <c r="E51" s="276" t="s">
        <v>359</v>
      </c>
      <c r="F51" s="194" t="s">
        <v>273</v>
      </c>
      <c r="G51" s="198"/>
      <c r="H51" s="183">
        <v>46397</v>
      </c>
      <c r="I51" s="282" t="s">
        <v>185</v>
      </c>
      <c r="J51" s="161" t="s">
        <v>22</v>
      </c>
      <c r="K51" s="166">
        <v>5</v>
      </c>
      <c r="L51" s="166" t="s">
        <v>84</v>
      </c>
      <c r="M51" s="211" t="s">
        <v>69</v>
      </c>
      <c r="N51" s="172" t="s">
        <v>30</v>
      </c>
      <c r="O51" s="166" t="s">
        <v>30</v>
      </c>
      <c r="P51" s="166" t="s">
        <v>30</v>
      </c>
      <c r="Q51" s="282" t="s">
        <v>30</v>
      </c>
      <c r="R51" s="161" t="s">
        <v>22</v>
      </c>
      <c r="S51" s="166">
        <v>5</v>
      </c>
      <c r="T51" s="166" t="s">
        <v>84</v>
      </c>
      <c r="U51" s="211" t="s">
        <v>69</v>
      </c>
      <c r="V51" s="172" t="s">
        <v>30</v>
      </c>
      <c r="W51" s="166" t="s">
        <v>30</v>
      </c>
      <c r="X51" s="166" t="s">
        <v>30</v>
      </c>
      <c r="Y51" s="282" t="s">
        <v>30</v>
      </c>
      <c r="Z51" s="210" t="s">
        <v>30</v>
      </c>
      <c r="AA51" s="166" t="s">
        <v>30</v>
      </c>
      <c r="AB51" s="166" t="s">
        <v>30</v>
      </c>
      <c r="AC51" s="281" t="s">
        <v>30</v>
      </c>
      <c r="AD51" s="172" t="s">
        <v>30</v>
      </c>
      <c r="AE51" s="166" t="s">
        <v>30</v>
      </c>
      <c r="AF51" s="166" t="s">
        <v>30</v>
      </c>
      <c r="AG51" s="282" t="s">
        <v>30</v>
      </c>
      <c r="AH51" s="210" t="s">
        <v>22</v>
      </c>
      <c r="AI51" s="160">
        <v>4.5</v>
      </c>
      <c r="AJ51" s="166" t="s">
        <v>84</v>
      </c>
      <c r="AK51" s="281" t="s">
        <v>74</v>
      </c>
      <c r="AL51" s="161"/>
      <c r="AM51" s="160"/>
      <c r="AN51" s="160"/>
      <c r="AO51" s="155"/>
      <c r="AP51" s="161"/>
      <c r="AQ51" s="160"/>
      <c r="AR51" s="160"/>
      <c r="AS51" s="170"/>
      <c r="AT51" s="161"/>
      <c r="AU51" s="160"/>
      <c r="AV51" s="160"/>
      <c r="AW51" s="170"/>
      <c r="AX51" s="161"/>
      <c r="AY51" s="160"/>
      <c r="AZ51" s="160"/>
      <c r="BA51" s="170" t="s">
        <v>80</v>
      </c>
      <c r="BB51" s="159"/>
      <c r="BC51" s="160"/>
      <c r="BD51" s="160"/>
      <c r="BE51" s="169" t="s">
        <v>80</v>
      </c>
      <c r="BF51" s="210" t="s">
        <v>30</v>
      </c>
      <c r="BG51" s="166" t="s">
        <v>30</v>
      </c>
      <c r="BH51" s="166" t="s">
        <v>30</v>
      </c>
      <c r="BI51" s="286">
        <v>46638</v>
      </c>
      <c r="BJ51" s="210" t="s">
        <v>30</v>
      </c>
      <c r="BK51" s="166" t="s">
        <v>30</v>
      </c>
      <c r="BL51" s="166" t="s">
        <v>30</v>
      </c>
      <c r="BM51" s="166" t="s">
        <v>30</v>
      </c>
      <c r="BN51" s="159" t="s">
        <v>22</v>
      </c>
      <c r="BO51" s="160" t="s">
        <v>329</v>
      </c>
      <c r="BP51" s="160" t="s">
        <v>84</v>
      </c>
      <c r="BQ51" s="155">
        <v>46400</v>
      </c>
      <c r="BR51" s="161" t="s">
        <v>22</v>
      </c>
      <c r="BS51" s="160" t="s">
        <v>329</v>
      </c>
      <c r="BT51" s="160" t="s">
        <v>84</v>
      </c>
      <c r="BU51" s="155">
        <v>46765</v>
      </c>
      <c r="BV51" s="290"/>
    </row>
    <row r="52" spans="1:74" s="15" customFormat="1" ht="25.9" hidden="1" customHeight="1">
      <c r="A52" s="53">
        <v>43</v>
      </c>
      <c r="B52" s="185" t="s">
        <v>211</v>
      </c>
      <c r="C52" s="176" t="s">
        <v>361</v>
      </c>
      <c r="D52" s="197">
        <v>1026302046</v>
      </c>
      <c r="E52" s="198" t="s">
        <v>362</v>
      </c>
      <c r="F52" s="198" t="s">
        <v>363</v>
      </c>
      <c r="G52" s="198"/>
      <c r="H52" s="183">
        <v>46499</v>
      </c>
      <c r="I52" s="184" t="s">
        <v>353</v>
      </c>
      <c r="J52" s="161" t="s">
        <v>22</v>
      </c>
      <c r="K52" s="166">
        <v>5</v>
      </c>
      <c r="L52" s="166" t="s">
        <v>84</v>
      </c>
      <c r="M52" s="211" t="s">
        <v>72</v>
      </c>
      <c r="N52" s="152" t="s">
        <v>30</v>
      </c>
      <c r="O52" s="151" t="s">
        <v>30</v>
      </c>
      <c r="P52" s="151" t="s">
        <v>30</v>
      </c>
      <c r="Q52" s="188" t="s">
        <v>30</v>
      </c>
      <c r="R52" s="161" t="s">
        <v>22</v>
      </c>
      <c r="S52" s="166">
        <v>5</v>
      </c>
      <c r="T52" s="166" t="s">
        <v>84</v>
      </c>
      <c r="U52" s="211" t="s">
        <v>72</v>
      </c>
      <c r="V52" s="152" t="s">
        <v>30</v>
      </c>
      <c r="W52" s="151" t="s">
        <v>30</v>
      </c>
      <c r="X52" s="151" t="s">
        <v>30</v>
      </c>
      <c r="Y52" s="188" t="s">
        <v>30</v>
      </c>
      <c r="Z52" s="157" t="s">
        <v>30</v>
      </c>
      <c r="AA52" s="151" t="s">
        <v>30</v>
      </c>
      <c r="AB52" s="151" t="s">
        <v>30</v>
      </c>
      <c r="AC52" s="158" t="s">
        <v>30</v>
      </c>
      <c r="AD52" s="152" t="s">
        <v>30</v>
      </c>
      <c r="AE52" s="151" t="s">
        <v>30</v>
      </c>
      <c r="AF52" s="151" t="s">
        <v>30</v>
      </c>
      <c r="AG52" s="188" t="s">
        <v>30</v>
      </c>
      <c r="AH52" s="157" t="s">
        <v>30</v>
      </c>
      <c r="AI52" s="151" t="s">
        <v>30</v>
      </c>
      <c r="AJ52" s="151" t="s">
        <v>30</v>
      </c>
      <c r="AK52" s="158" t="s">
        <v>30</v>
      </c>
      <c r="AL52" s="60"/>
      <c r="AM52" s="59"/>
      <c r="AN52" s="59"/>
      <c r="AO52" s="155"/>
      <c r="AP52" s="60"/>
      <c r="AQ52" s="59"/>
      <c r="AR52" s="59"/>
      <c r="AS52" s="170"/>
      <c r="AT52" s="60"/>
      <c r="AU52" s="59"/>
      <c r="AV52" s="59"/>
      <c r="AW52" s="170"/>
      <c r="AX52" s="157" t="s">
        <v>30</v>
      </c>
      <c r="AY52" s="151" t="s">
        <v>30</v>
      </c>
      <c r="AZ52" s="151" t="s">
        <v>30</v>
      </c>
      <c r="BA52" s="158" t="s">
        <v>30</v>
      </c>
      <c r="BB52" s="152" t="s">
        <v>30</v>
      </c>
      <c r="BC52" s="151" t="s">
        <v>30</v>
      </c>
      <c r="BD52" s="151" t="s">
        <v>30</v>
      </c>
      <c r="BE52" s="188" t="s">
        <v>30</v>
      </c>
      <c r="BF52" s="157" t="s">
        <v>30</v>
      </c>
      <c r="BG52" s="151" t="s">
        <v>30</v>
      </c>
      <c r="BH52" s="151" t="s">
        <v>30</v>
      </c>
      <c r="BI52" s="188" t="s">
        <v>30</v>
      </c>
      <c r="BJ52" s="157" t="s">
        <v>30</v>
      </c>
      <c r="BK52" s="151" t="s">
        <v>30</v>
      </c>
      <c r="BL52" s="151" t="s">
        <v>30</v>
      </c>
      <c r="BM52" s="158" t="s">
        <v>30</v>
      </c>
      <c r="BN52" s="159" t="s">
        <v>22</v>
      </c>
      <c r="BO52" s="160">
        <v>4.5</v>
      </c>
      <c r="BP52" s="160" t="s">
        <v>84</v>
      </c>
      <c r="BQ52" s="154">
        <v>46498</v>
      </c>
      <c r="BR52" s="161" t="s">
        <v>22</v>
      </c>
      <c r="BS52" s="160">
        <v>4</v>
      </c>
      <c r="BT52" s="160" t="s">
        <v>84</v>
      </c>
      <c r="BU52" s="154">
        <v>46133</v>
      </c>
      <c r="BV52" s="99"/>
    </row>
    <row r="53" spans="1:74" s="291" customFormat="1" ht="25.9" customHeight="1">
      <c r="A53" s="268">
        <v>44</v>
      </c>
      <c r="B53" s="185" t="s">
        <v>211</v>
      </c>
      <c r="C53" s="176" t="s">
        <v>388</v>
      </c>
      <c r="D53" s="197">
        <v>1015449004</v>
      </c>
      <c r="E53" s="276" t="s">
        <v>389</v>
      </c>
      <c r="F53" s="194" t="s">
        <v>369</v>
      </c>
      <c r="G53" s="198"/>
      <c r="H53" s="183">
        <v>46487</v>
      </c>
      <c r="I53" s="282" t="s">
        <v>185</v>
      </c>
      <c r="J53" s="161"/>
      <c r="K53" s="166"/>
      <c r="L53" s="166"/>
      <c r="M53" s="211" t="s">
        <v>77</v>
      </c>
      <c r="N53" s="159" t="s">
        <v>22</v>
      </c>
      <c r="O53" s="162">
        <v>5</v>
      </c>
      <c r="P53" s="167" t="s">
        <v>84</v>
      </c>
      <c r="Q53" s="249" t="s">
        <v>72</v>
      </c>
      <c r="R53" s="161"/>
      <c r="S53" s="166"/>
      <c r="T53" s="166"/>
      <c r="U53" s="211" t="s">
        <v>77</v>
      </c>
      <c r="V53" s="172" t="s">
        <v>30</v>
      </c>
      <c r="W53" s="166" t="s">
        <v>30</v>
      </c>
      <c r="X53" s="166" t="s">
        <v>30</v>
      </c>
      <c r="Y53" s="282" t="s">
        <v>30</v>
      </c>
      <c r="Z53" s="210" t="s">
        <v>30</v>
      </c>
      <c r="AA53" s="166" t="s">
        <v>30</v>
      </c>
      <c r="AB53" s="166" t="s">
        <v>30</v>
      </c>
      <c r="AC53" s="281" t="s">
        <v>30</v>
      </c>
      <c r="AD53" s="172" t="s">
        <v>30</v>
      </c>
      <c r="AE53" s="166" t="s">
        <v>30</v>
      </c>
      <c r="AF53" s="166" t="s">
        <v>30</v>
      </c>
      <c r="AG53" s="282" t="s">
        <v>30</v>
      </c>
      <c r="AH53" s="210" t="s">
        <v>22</v>
      </c>
      <c r="AI53" s="160">
        <v>5</v>
      </c>
      <c r="AJ53" s="166" t="s">
        <v>84</v>
      </c>
      <c r="AK53" s="281" t="s">
        <v>74</v>
      </c>
      <c r="AL53" s="161"/>
      <c r="AM53" s="160"/>
      <c r="AN53" s="160"/>
      <c r="AO53" s="155"/>
      <c r="AP53" s="161"/>
      <c r="AQ53" s="160"/>
      <c r="AR53" s="160"/>
      <c r="AS53" s="170"/>
      <c r="AT53" s="161"/>
      <c r="AU53" s="160"/>
      <c r="AV53" s="160"/>
      <c r="AW53" s="170"/>
      <c r="AX53" s="210" t="s">
        <v>30</v>
      </c>
      <c r="AY53" s="166" t="s">
        <v>30</v>
      </c>
      <c r="AZ53" s="166" t="s">
        <v>30</v>
      </c>
      <c r="BA53" s="281" t="s">
        <v>30</v>
      </c>
      <c r="BB53" s="210" t="s">
        <v>30</v>
      </c>
      <c r="BC53" s="166" t="s">
        <v>30</v>
      </c>
      <c r="BD53" s="166" t="s">
        <v>30</v>
      </c>
      <c r="BE53" s="281" t="s">
        <v>30</v>
      </c>
      <c r="BF53" s="210" t="s">
        <v>30</v>
      </c>
      <c r="BG53" s="166" t="s">
        <v>30</v>
      </c>
      <c r="BH53" s="166" t="s">
        <v>30</v>
      </c>
      <c r="BI53" s="282" t="s">
        <v>30</v>
      </c>
      <c r="BJ53" s="210" t="s">
        <v>30</v>
      </c>
      <c r="BK53" s="166" t="s">
        <v>30</v>
      </c>
      <c r="BL53" s="166" t="s">
        <v>30</v>
      </c>
      <c r="BM53" s="166" t="s">
        <v>30</v>
      </c>
      <c r="BN53" s="159" t="s">
        <v>22</v>
      </c>
      <c r="BO53" s="160">
        <v>4.5</v>
      </c>
      <c r="BP53" s="160" t="s">
        <v>84</v>
      </c>
      <c r="BQ53" s="155">
        <v>46561</v>
      </c>
      <c r="BR53" s="161" t="s">
        <v>22</v>
      </c>
      <c r="BS53" s="160">
        <v>5</v>
      </c>
      <c r="BT53" s="160" t="s">
        <v>84</v>
      </c>
      <c r="BU53" s="155">
        <v>46927</v>
      </c>
      <c r="BV53" s="290"/>
    </row>
    <row r="54" spans="1:74" s="294" customFormat="1" ht="25.9" customHeight="1">
      <c r="A54" s="268">
        <v>45</v>
      </c>
      <c r="B54" s="185" t="s">
        <v>211</v>
      </c>
      <c r="C54" s="176" t="s">
        <v>364</v>
      </c>
      <c r="D54" s="197">
        <v>1098822990</v>
      </c>
      <c r="E54" s="276" t="s">
        <v>365</v>
      </c>
      <c r="F54" s="194" t="s">
        <v>363</v>
      </c>
      <c r="G54" s="198"/>
      <c r="H54" s="183">
        <v>46495</v>
      </c>
      <c r="I54" s="282" t="s">
        <v>185</v>
      </c>
      <c r="J54" s="161" t="s">
        <v>22</v>
      </c>
      <c r="K54" s="166">
        <v>5</v>
      </c>
      <c r="L54" s="166" t="s">
        <v>84</v>
      </c>
      <c r="M54" s="211" t="s">
        <v>72</v>
      </c>
      <c r="N54" s="159" t="s">
        <v>22</v>
      </c>
      <c r="O54" s="162">
        <v>5</v>
      </c>
      <c r="P54" s="167" t="s">
        <v>84</v>
      </c>
      <c r="Q54" s="249" t="s">
        <v>72</v>
      </c>
      <c r="R54" s="161" t="s">
        <v>22</v>
      </c>
      <c r="S54" s="166">
        <v>5</v>
      </c>
      <c r="T54" s="166" t="s">
        <v>84</v>
      </c>
      <c r="U54" s="211" t="s">
        <v>72</v>
      </c>
      <c r="V54" s="159" t="s">
        <v>22</v>
      </c>
      <c r="W54" s="160">
        <v>5</v>
      </c>
      <c r="X54" s="160" t="s">
        <v>84</v>
      </c>
      <c r="Y54" s="202" t="s">
        <v>72</v>
      </c>
      <c r="Z54" s="210" t="s">
        <v>30</v>
      </c>
      <c r="AA54" s="166" t="s">
        <v>30</v>
      </c>
      <c r="AB54" s="166" t="s">
        <v>30</v>
      </c>
      <c r="AC54" s="281" t="s">
        <v>30</v>
      </c>
      <c r="AD54" s="172" t="s">
        <v>30</v>
      </c>
      <c r="AE54" s="166" t="s">
        <v>30</v>
      </c>
      <c r="AF54" s="166" t="s">
        <v>30</v>
      </c>
      <c r="AG54" s="282" t="s">
        <v>30</v>
      </c>
      <c r="AH54" s="210" t="s">
        <v>22</v>
      </c>
      <c r="AI54" s="160">
        <v>5</v>
      </c>
      <c r="AJ54" s="166" t="s">
        <v>84</v>
      </c>
      <c r="AK54" s="277" t="s">
        <v>74</v>
      </c>
      <c r="AL54" s="161"/>
      <c r="AM54" s="160"/>
      <c r="AN54" s="160"/>
      <c r="AO54" s="155"/>
      <c r="AP54" s="299"/>
      <c r="AQ54" s="160"/>
      <c r="AR54" s="300"/>
      <c r="AS54" s="301"/>
      <c r="AT54" s="299"/>
      <c r="AU54" s="160"/>
      <c r="AV54" s="300"/>
      <c r="AW54" s="301"/>
      <c r="AX54" s="210" t="s">
        <v>30</v>
      </c>
      <c r="AY54" s="166" t="s">
        <v>30</v>
      </c>
      <c r="AZ54" s="166" t="s">
        <v>30</v>
      </c>
      <c r="BA54" s="281" t="s">
        <v>30</v>
      </c>
      <c r="BB54" s="172" t="s">
        <v>30</v>
      </c>
      <c r="BC54" s="166" t="s">
        <v>30</v>
      </c>
      <c r="BD54" s="166" t="s">
        <v>30</v>
      </c>
      <c r="BE54" s="282" t="s">
        <v>30</v>
      </c>
      <c r="BF54" s="210" t="s">
        <v>30</v>
      </c>
      <c r="BG54" s="166" t="s">
        <v>30</v>
      </c>
      <c r="BH54" s="166" t="s">
        <v>30</v>
      </c>
      <c r="BI54" s="282" t="s">
        <v>30</v>
      </c>
      <c r="BJ54" s="210" t="s">
        <v>22</v>
      </c>
      <c r="BK54" s="166">
        <v>5</v>
      </c>
      <c r="BL54" s="166" t="s">
        <v>84</v>
      </c>
      <c r="BM54" s="170" t="s">
        <v>73</v>
      </c>
      <c r="BN54" s="159" t="s">
        <v>22</v>
      </c>
      <c r="BO54" s="160" t="s">
        <v>329</v>
      </c>
      <c r="BP54" s="160" t="s">
        <v>84</v>
      </c>
      <c r="BQ54" s="155">
        <v>46499</v>
      </c>
      <c r="BR54" s="210" t="s">
        <v>22</v>
      </c>
      <c r="BS54" s="160">
        <v>5</v>
      </c>
      <c r="BT54" s="160" t="s">
        <v>84</v>
      </c>
      <c r="BU54" s="155">
        <v>46865</v>
      </c>
    </row>
    <row r="55" spans="1:74" ht="25.9" hidden="1" customHeight="1">
      <c r="A55" s="53">
        <v>46</v>
      </c>
      <c r="B55" s="185" t="s">
        <v>211</v>
      </c>
      <c r="C55" s="176" t="s">
        <v>372</v>
      </c>
      <c r="D55" s="199">
        <v>13348806</v>
      </c>
      <c r="E55" t="s">
        <v>366</v>
      </c>
      <c r="F55" s="200" t="s">
        <v>310</v>
      </c>
      <c r="G55" s="200"/>
      <c r="H55" s="201">
        <v>46499</v>
      </c>
      <c r="I55" s="184" t="s">
        <v>353</v>
      </c>
      <c r="J55" s="161" t="s">
        <v>22</v>
      </c>
      <c r="K55" s="166">
        <v>4.5</v>
      </c>
      <c r="L55" s="166" t="s">
        <v>84</v>
      </c>
      <c r="M55" s="211" t="s">
        <v>72</v>
      </c>
      <c r="N55" s="152" t="s">
        <v>30</v>
      </c>
      <c r="O55" s="151" t="s">
        <v>30</v>
      </c>
      <c r="P55" s="151" t="s">
        <v>30</v>
      </c>
      <c r="Q55" s="188" t="s">
        <v>30</v>
      </c>
      <c r="R55" s="161" t="s">
        <v>22</v>
      </c>
      <c r="S55" s="166">
        <v>5</v>
      </c>
      <c r="T55" s="166" t="s">
        <v>84</v>
      </c>
      <c r="U55" s="211" t="s">
        <v>72</v>
      </c>
      <c r="V55" s="159" t="s">
        <v>22</v>
      </c>
      <c r="W55" s="160">
        <v>5</v>
      </c>
      <c r="X55" s="160" t="s">
        <v>84</v>
      </c>
      <c r="Y55" s="202" t="s">
        <v>72</v>
      </c>
      <c r="Z55" s="157" t="s">
        <v>30</v>
      </c>
      <c r="AA55" s="151" t="s">
        <v>30</v>
      </c>
      <c r="AB55" s="151" t="s">
        <v>30</v>
      </c>
      <c r="AC55" s="158" t="s">
        <v>30</v>
      </c>
      <c r="AD55" s="152" t="s">
        <v>30</v>
      </c>
      <c r="AE55" s="151" t="s">
        <v>30</v>
      </c>
      <c r="AF55" s="151" t="s">
        <v>30</v>
      </c>
      <c r="AG55" s="188" t="s">
        <v>30</v>
      </c>
      <c r="AH55" s="157" t="s">
        <v>30</v>
      </c>
      <c r="AI55" s="151" t="s">
        <v>30</v>
      </c>
      <c r="AJ55" s="151" t="s">
        <v>30</v>
      </c>
      <c r="AK55" s="158" t="s">
        <v>30</v>
      </c>
      <c r="AL55" s="60"/>
      <c r="AM55" s="59"/>
      <c r="AN55" s="59"/>
      <c r="AO55" s="155"/>
      <c r="AP55" s="206"/>
      <c r="AQ55" s="59"/>
      <c r="AR55" s="95"/>
      <c r="AS55" s="207"/>
      <c r="AT55" s="206"/>
      <c r="AU55" s="59"/>
      <c r="AV55" s="95"/>
      <c r="AW55" s="207"/>
      <c r="AX55" s="157" t="s">
        <v>30</v>
      </c>
      <c r="AY55" s="151" t="s">
        <v>30</v>
      </c>
      <c r="AZ55" s="151" t="s">
        <v>30</v>
      </c>
      <c r="BA55" s="158" t="s">
        <v>30</v>
      </c>
      <c r="BB55" s="152" t="s">
        <v>30</v>
      </c>
      <c r="BC55" s="151" t="s">
        <v>30</v>
      </c>
      <c r="BD55" s="151" t="s">
        <v>30</v>
      </c>
      <c r="BE55" s="188" t="s">
        <v>30</v>
      </c>
      <c r="BF55" s="157" t="s">
        <v>30</v>
      </c>
      <c r="BG55" s="151" t="s">
        <v>30</v>
      </c>
      <c r="BH55" s="151" t="s">
        <v>30</v>
      </c>
      <c r="BI55" s="188" t="s">
        <v>30</v>
      </c>
      <c r="BJ55" s="157" t="s">
        <v>30</v>
      </c>
      <c r="BK55" s="151" t="s">
        <v>30</v>
      </c>
      <c r="BL55" s="151" t="s">
        <v>30</v>
      </c>
      <c r="BM55" s="158" t="s">
        <v>30</v>
      </c>
      <c r="BN55" s="159" t="s">
        <v>22</v>
      </c>
      <c r="BO55" s="160" t="s">
        <v>329</v>
      </c>
      <c r="BP55" s="160" t="s">
        <v>84</v>
      </c>
      <c r="BQ55" s="154">
        <v>46501</v>
      </c>
      <c r="BR55" s="157" t="s">
        <v>30</v>
      </c>
      <c r="BS55" s="151" t="s">
        <v>30</v>
      </c>
      <c r="BT55" s="151" t="s">
        <v>30</v>
      </c>
      <c r="BU55" s="158" t="s">
        <v>30</v>
      </c>
    </row>
    <row r="56" spans="1:74" s="294" customFormat="1" ht="25.9" customHeight="1">
      <c r="A56" s="268">
        <v>47</v>
      </c>
      <c r="B56" s="185" t="s">
        <v>211</v>
      </c>
      <c r="C56" s="176" t="s">
        <v>367</v>
      </c>
      <c r="D56" s="199">
        <v>74856617</v>
      </c>
      <c r="E56" s="276" t="s">
        <v>368</v>
      </c>
      <c r="F56" s="274" t="s">
        <v>369</v>
      </c>
      <c r="G56" s="200"/>
      <c r="H56" s="201">
        <v>46499</v>
      </c>
      <c r="I56" s="282" t="s">
        <v>185</v>
      </c>
      <c r="J56" s="161" t="s">
        <v>22</v>
      </c>
      <c r="K56" s="166">
        <v>5</v>
      </c>
      <c r="L56" s="166" t="s">
        <v>84</v>
      </c>
      <c r="M56" s="211" t="s">
        <v>72</v>
      </c>
      <c r="N56" s="159" t="s">
        <v>22</v>
      </c>
      <c r="O56" s="162">
        <v>5</v>
      </c>
      <c r="P56" s="167" t="s">
        <v>84</v>
      </c>
      <c r="Q56" s="249" t="s">
        <v>72</v>
      </c>
      <c r="R56" s="161" t="s">
        <v>22</v>
      </c>
      <c r="S56" s="166">
        <v>5</v>
      </c>
      <c r="T56" s="166" t="s">
        <v>84</v>
      </c>
      <c r="U56" s="211" t="s">
        <v>72</v>
      </c>
      <c r="V56" s="159" t="s">
        <v>22</v>
      </c>
      <c r="W56" s="160">
        <v>5</v>
      </c>
      <c r="X56" s="160" t="s">
        <v>84</v>
      </c>
      <c r="Y56" s="202" t="s">
        <v>72</v>
      </c>
      <c r="Z56" s="210" t="s">
        <v>30</v>
      </c>
      <c r="AA56" s="166" t="s">
        <v>30</v>
      </c>
      <c r="AB56" s="166" t="s">
        <v>30</v>
      </c>
      <c r="AC56" s="281" t="s">
        <v>30</v>
      </c>
      <c r="AD56" s="172" t="s">
        <v>30</v>
      </c>
      <c r="AE56" s="166" t="s">
        <v>30</v>
      </c>
      <c r="AF56" s="166" t="s">
        <v>30</v>
      </c>
      <c r="AG56" s="282" t="s">
        <v>30</v>
      </c>
      <c r="AH56" s="210" t="s">
        <v>22</v>
      </c>
      <c r="AI56" s="160">
        <v>5</v>
      </c>
      <c r="AJ56" s="166" t="s">
        <v>84</v>
      </c>
      <c r="AK56" s="277" t="s">
        <v>74</v>
      </c>
      <c r="AL56" s="161"/>
      <c r="AM56" s="160"/>
      <c r="AN56" s="160"/>
      <c r="AO56" s="155"/>
      <c r="AP56" s="299"/>
      <c r="AQ56" s="160"/>
      <c r="AR56" s="300"/>
      <c r="AS56" s="301"/>
      <c r="AT56" s="299"/>
      <c r="AU56" s="160"/>
      <c r="AV56" s="300"/>
      <c r="AW56" s="301"/>
      <c r="AX56" s="210" t="s">
        <v>30</v>
      </c>
      <c r="AY56" s="166" t="s">
        <v>30</v>
      </c>
      <c r="AZ56" s="166" t="s">
        <v>30</v>
      </c>
      <c r="BA56" s="281" t="s">
        <v>30</v>
      </c>
      <c r="BB56" s="172" t="s">
        <v>30</v>
      </c>
      <c r="BC56" s="166" t="s">
        <v>30</v>
      </c>
      <c r="BD56" s="166" t="s">
        <v>30</v>
      </c>
      <c r="BE56" s="282" t="s">
        <v>30</v>
      </c>
      <c r="BF56" s="210" t="s">
        <v>30</v>
      </c>
      <c r="BG56" s="166" t="s">
        <v>30</v>
      </c>
      <c r="BH56" s="166" t="s">
        <v>30</v>
      </c>
      <c r="BI56" s="282" t="s">
        <v>30</v>
      </c>
      <c r="BJ56" s="210" t="s">
        <v>22</v>
      </c>
      <c r="BK56" s="166">
        <v>5</v>
      </c>
      <c r="BL56" s="166" t="s">
        <v>84</v>
      </c>
      <c r="BM56" s="170" t="s">
        <v>73</v>
      </c>
      <c r="BN56" s="159" t="s">
        <v>22</v>
      </c>
      <c r="BO56" s="160" t="s">
        <v>329</v>
      </c>
      <c r="BP56" s="160" t="s">
        <v>84</v>
      </c>
      <c r="BQ56" s="155">
        <v>46499</v>
      </c>
      <c r="BR56" s="161" t="s">
        <v>22</v>
      </c>
      <c r="BS56" s="160" t="s">
        <v>329</v>
      </c>
      <c r="BT56" s="160" t="s">
        <v>84</v>
      </c>
      <c r="BU56" s="155">
        <v>46865</v>
      </c>
    </row>
    <row r="57" spans="1:74" ht="25.9" hidden="1" customHeight="1">
      <c r="A57" s="53">
        <v>48</v>
      </c>
      <c r="B57" s="185" t="s">
        <v>211</v>
      </c>
      <c r="C57" s="176" t="s">
        <v>370</v>
      </c>
      <c r="D57" s="199">
        <v>13846103</v>
      </c>
      <c r="E57" t="s">
        <v>371</v>
      </c>
      <c r="F57" s="200" t="s">
        <v>254</v>
      </c>
      <c r="G57" s="200"/>
      <c r="H57" s="201">
        <v>46502</v>
      </c>
      <c r="I57" s="184" t="s">
        <v>353</v>
      </c>
      <c r="J57" s="161" t="s">
        <v>22</v>
      </c>
      <c r="K57" s="166">
        <v>5</v>
      </c>
      <c r="L57" s="166" t="s">
        <v>84</v>
      </c>
      <c r="M57" s="211" t="s">
        <v>72</v>
      </c>
      <c r="N57" s="152" t="s">
        <v>30</v>
      </c>
      <c r="O57" s="151" t="s">
        <v>30</v>
      </c>
      <c r="P57" s="151" t="s">
        <v>30</v>
      </c>
      <c r="Q57" s="188" t="s">
        <v>30</v>
      </c>
      <c r="R57" s="161" t="s">
        <v>22</v>
      </c>
      <c r="S57" s="166">
        <v>5</v>
      </c>
      <c r="T57" s="166" t="s">
        <v>84</v>
      </c>
      <c r="U57" s="211" t="s">
        <v>72</v>
      </c>
      <c r="V57" s="159" t="s">
        <v>22</v>
      </c>
      <c r="W57" s="160">
        <v>5</v>
      </c>
      <c r="X57" s="160" t="s">
        <v>84</v>
      </c>
      <c r="Y57" s="202" t="s">
        <v>72</v>
      </c>
      <c r="Z57" s="157" t="s">
        <v>30</v>
      </c>
      <c r="AA57" s="151" t="s">
        <v>30</v>
      </c>
      <c r="AB57" s="151" t="s">
        <v>30</v>
      </c>
      <c r="AC57" s="158" t="s">
        <v>30</v>
      </c>
      <c r="AD57" s="152" t="s">
        <v>30</v>
      </c>
      <c r="AE57" s="151" t="s">
        <v>30</v>
      </c>
      <c r="AF57" s="151" t="s">
        <v>30</v>
      </c>
      <c r="AG57" s="188" t="s">
        <v>30</v>
      </c>
      <c r="AH57" s="157" t="s">
        <v>30</v>
      </c>
      <c r="AI57" s="151" t="s">
        <v>30</v>
      </c>
      <c r="AJ57" s="151" t="s">
        <v>30</v>
      </c>
      <c r="AK57" s="158" t="s">
        <v>30</v>
      </c>
      <c r="AL57" s="60"/>
      <c r="AM57" s="59"/>
      <c r="AN57" s="59"/>
      <c r="AO57" s="155"/>
      <c r="AP57" s="101"/>
      <c r="AQ57" s="59"/>
      <c r="AR57" s="100"/>
      <c r="AS57" s="208"/>
      <c r="AT57" s="101"/>
      <c r="AU57" s="59"/>
      <c r="AV57" s="100"/>
      <c r="AW57" s="208"/>
      <c r="AX57" s="245" t="s">
        <v>22</v>
      </c>
      <c r="AY57" s="160">
        <v>5</v>
      </c>
      <c r="AZ57" s="160" t="s">
        <v>84</v>
      </c>
      <c r="BA57" s="154">
        <v>46867</v>
      </c>
      <c r="BB57" s="152" t="s">
        <v>22</v>
      </c>
      <c r="BC57" s="160">
        <v>5</v>
      </c>
      <c r="BD57" s="160" t="s">
        <v>84</v>
      </c>
      <c r="BE57" s="204">
        <v>46904</v>
      </c>
      <c r="BF57" s="152" t="s">
        <v>22</v>
      </c>
      <c r="BG57" s="160">
        <v>5</v>
      </c>
      <c r="BH57" s="160" t="s">
        <v>84</v>
      </c>
      <c r="BI57" s="204">
        <v>48004</v>
      </c>
      <c r="BJ57" s="157" t="s">
        <v>22</v>
      </c>
      <c r="BK57" s="151">
        <v>5</v>
      </c>
      <c r="BL57" s="151" t="s">
        <v>84</v>
      </c>
      <c r="BM57" s="170" t="s">
        <v>73</v>
      </c>
      <c r="BN57" s="159" t="s">
        <v>22</v>
      </c>
      <c r="BO57" s="160" t="s">
        <v>329</v>
      </c>
      <c r="BP57" s="160" t="s">
        <v>84</v>
      </c>
      <c r="BQ57" s="154">
        <v>46511</v>
      </c>
      <c r="BR57" s="157" t="s">
        <v>22</v>
      </c>
      <c r="BS57" s="160" t="s">
        <v>329</v>
      </c>
      <c r="BT57" s="160" t="s">
        <v>84</v>
      </c>
      <c r="BU57" s="154">
        <v>46877</v>
      </c>
    </row>
    <row r="58" spans="1:74" s="294" customFormat="1" ht="31.9" hidden="1" customHeight="1">
      <c r="A58" s="268">
        <v>49</v>
      </c>
      <c r="B58" s="185" t="s">
        <v>211</v>
      </c>
      <c r="C58" s="176" t="s">
        <v>373</v>
      </c>
      <c r="D58" s="199">
        <v>1013597652</v>
      </c>
      <c r="E58" s="276" t="s">
        <v>374</v>
      </c>
      <c r="F58" s="274" t="s">
        <v>254</v>
      </c>
      <c r="G58" s="200"/>
      <c r="H58" s="201">
        <v>46499</v>
      </c>
      <c r="I58" s="282" t="s">
        <v>396</v>
      </c>
      <c r="J58" s="161" t="s">
        <v>22</v>
      </c>
      <c r="K58" s="166">
        <v>5</v>
      </c>
      <c r="L58" s="166" t="s">
        <v>84</v>
      </c>
      <c r="M58" s="211" t="s">
        <v>72</v>
      </c>
      <c r="N58" s="172" t="s">
        <v>30</v>
      </c>
      <c r="O58" s="166" t="s">
        <v>30</v>
      </c>
      <c r="P58" s="166" t="s">
        <v>30</v>
      </c>
      <c r="Q58" s="282" t="s">
        <v>30</v>
      </c>
      <c r="R58" s="161" t="s">
        <v>22</v>
      </c>
      <c r="S58" s="166">
        <v>5</v>
      </c>
      <c r="T58" s="166" t="s">
        <v>84</v>
      </c>
      <c r="U58" s="211" t="s">
        <v>72</v>
      </c>
      <c r="V58" s="159" t="s">
        <v>22</v>
      </c>
      <c r="W58" s="160">
        <v>5</v>
      </c>
      <c r="X58" s="160" t="s">
        <v>84</v>
      </c>
      <c r="Y58" s="202" t="s">
        <v>72</v>
      </c>
      <c r="Z58" s="210" t="s">
        <v>30</v>
      </c>
      <c r="AA58" s="166" t="s">
        <v>30</v>
      </c>
      <c r="AB58" s="166" t="s">
        <v>30</v>
      </c>
      <c r="AC58" s="281" t="s">
        <v>30</v>
      </c>
      <c r="AD58" s="172" t="s">
        <v>30</v>
      </c>
      <c r="AE58" s="166" t="s">
        <v>30</v>
      </c>
      <c r="AF58" s="166" t="s">
        <v>30</v>
      </c>
      <c r="AG58" s="282" t="s">
        <v>30</v>
      </c>
      <c r="AH58" s="210" t="s">
        <v>22</v>
      </c>
      <c r="AI58" s="160">
        <v>5</v>
      </c>
      <c r="AJ58" s="166" t="s">
        <v>84</v>
      </c>
      <c r="AK58" s="277" t="s">
        <v>74</v>
      </c>
      <c r="AL58" s="168"/>
      <c r="AM58" s="167"/>
      <c r="AN58" s="167"/>
      <c r="AO58" s="203"/>
      <c r="AP58" s="302"/>
      <c r="AQ58" s="160"/>
      <c r="AR58" s="303"/>
      <c r="AS58" s="304"/>
      <c r="AT58" s="302"/>
      <c r="AU58" s="160"/>
      <c r="AV58" s="303"/>
      <c r="AW58" s="304"/>
      <c r="AX58" s="161"/>
      <c r="AY58" s="160"/>
      <c r="AZ58" s="160"/>
      <c r="BA58" s="160" t="s">
        <v>80</v>
      </c>
      <c r="BB58" s="160"/>
      <c r="BC58" s="160"/>
      <c r="BD58" s="160"/>
      <c r="BE58" s="169" t="s">
        <v>76</v>
      </c>
      <c r="BF58" s="210" t="s">
        <v>22</v>
      </c>
      <c r="BG58" s="166">
        <v>5</v>
      </c>
      <c r="BH58" s="166" t="s">
        <v>84</v>
      </c>
      <c r="BI58" s="170" t="s">
        <v>73</v>
      </c>
      <c r="BJ58" s="210" t="s">
        <v>22</v>
      </c>
      <c r="BK58" s="166">
        <v>5</v>
      </c>
      <c r="BL58" s="166" t="s">
        <v>84</v>
      </c>
      <c r="BM58" s="170" t="s">
        <v>73</v>
      </c>
      <c r="BN58" s="159" t="s">
        <v>22</v>
      </c>
      <c r="BO58" s="160">
        <v>5</v>
      </c>
      <c r="BP58" s="160" t="s">
        <v>84</v>
      </c>
      <c r="BQ58" s="155">
        <v>46499</v>
      </c>
      <c r="BR58" s="268" t="s">
        <v>22</v>
      </c>
      <c r="BS58" s="160">
        <v>5</v>
      </c>
      <c r="BT58" s="160" t="s">
        <v>84</v>
      </c>
      <c r="BU58" s="155">
        <v>46865</v>
      </c>
    </row>
    <row r="59" spans="1:74" s="294" customFormat="1" ht="31.9" customHeight="1">
      <c r="A59" s="268">
        <v>50</v>
      </c>
      <c r="B59" s="185" t="s">
        <v>211</v>
      </c>
      <c r="C59" s="176" t="s">
        <v>375</v>
      </c>
      <c r="D59" s="199">
        <v>1075262171</v>
      </c>
      <c r="E59" s="276" t="s">
        <v>376</v>
      </c>
      <c r="F59" s="194" t="s">
        <v>369</v>
      </c>
      <c r="G59" s="198"/>
      <c r="H59" s="183">
        <v>46512</v>
      </c>
      <c r="I59" s="282" t="s">
        <v>185</v>
      </c>
      <c r="J59" s="161" t="s">
        <v>22</v>
      </c>
      <c r="K59" s="166">
        <v>5</v>
      </c>
      <c r="L59" s="166" t="s">
        <v>84</v>
      </c>
      <c r="M59" s="211" t="s">
        <v>73</v>
      </c>
      <c r="N59" s="159" t="s">
        <v>22</v>
      </c>
      <c r="O59" s="162">
        <v>5</v>
      </c>
      <c r="P59" s="167" t="s">
        <v>84</v>
      </c>
      <c r="Q59" s="249" t="s">
        <v>73</v>
      </c>
      <c r="R59" s="161" t="s">
        <v>22</v>
      </c>
      <c r="S59" s="166">
        <v>5</v>
      </c>
      <c r="T59" s="166" t="s">
        <v>84</v>
      </c>
      <c r="U59" s="211" t="s">
        <v>73</v>
      </c>
      <c r="V59" s="159" t="s">
        <v>22</v>
      </c>
      <c r="W59" s="166">
        <v>5</v>
      </c>
      <c r="X59" s="166" t="s">
        <v>84</v>
      </c>
      <c r="Y59" s="244" t="s">
        <v>73</v>
      </c>
      <c r="Z59" s="210" t="s">
        <v>30</v>
      </c>
      <c r="AA59" s="166" t="s">
        <v>30</v>
      </c>
      <c r="AB59" s="166" t="s">
        <v>30</v>
      </c>
      <c r="AC59" s="281" t="s">
        <v>30</v>
      </c>
      <c r="AD59" s="172" t="s">
        <v>30</v>
      </c>
      <c r="AE59" s="166" t="s">
        <v>30</v>
      </c>
      <c r="AF59" s="166" t="s">
        <v>30</v>
      </c>
      <c r="AG59" s="282" t="s">
        <v>30</v>
      </c>
      <c r="AH59" s="210" t="s">
        <v>21</v>
      </c>
      <c r="AI59" s="160"/>
      <c r="AJ59" s="166"/>
      <c r="AK59" s="170" t="s">
        <v>75</v>
      </c>
      <c r="AL59" s="161"/>
      <c r="AM59" s="160"/>
      <c r="AN59" s="160"/>
      <c r="AO59" s="155"/>
      <c r="AP59" s="299"/>
      <c r="AQ59" s="160"/>
      <c r="AR59" s="300"/>
      <c r="AS59" s="301"/>
      <c r="AT59" s="299"/>
      <c r="AU59" s="160"/>
      <c r="AV59" s="300"/>
      <c r="AW59" s="301"/>
      <c r="AX59" s="210" t="s">
        <v>30</v>
      </c>
      <c r="AY59" s="166" t="s">
        <v>30</v>
      </c>
      <c r="AZ59" s="166" t="s">
        <v>30</v>
      </c>
      <c r="BA59" s="166" t="s">
        <v>30</v>
      </c>
      <c r="BB59" s="166" t="s">
        <v>30</v>
      </c>
      <c r="BC59" s="166" t="s">
        <v>30</v>
      </c>
      <c r="BD59" s="166" t="s">
        <v>30</v>
      </c>
      <c r="BE59" s="282" t="s">
        <v>30</v>
      </c>
      <c r="BF59" s="210" t="s">
        <v>30</v>
      </c>
      <c r="BG59" s="166" t="s">
        <v>30</v>
      </c>
      <c r="BH59" s="166" t="s">
        <v>30</v>
      </c>
      <c r="BI59" s="282" t="s">
        <v>30</v>
      </c>
      <c r="BJ59" s="210" t="s">
        <v>22</v>
      </c>
      <c r="BK59" s="166">
        <v>5</v>
      </c>
      <c r="BL59" s="166" t="s">
        <v>84</v>
      </c>
      <c r="BM59" s="170" t="s">
        <v>73</v>
      </c>
      <c r="BN59" s="159" t="s">
        <v>22</v>
      </c>
      <c r="BO59" s="160">
        <v>5</v>
      </c>
      <c r="BP59" s="160" t="s">
        <v>84</v>
      </c>
      <c r="BQ59" s="155">
        <v>46511</v>
      </c>
      <c r="BR59" s="210" t="s">
        <v>22</v>
      </c>
      <c r="BS59" s="160" t="s">
        <v>329</v>
      </c>
      <c r="BT59" s="160" t="s">
        <v>84</v>
      </c>
      <c r="BU59" s="155">
        <v>46877</v>
      </c>
    </row>
    <row r="60" spans="1:74" s="294" customFormat="1" ht="31.9" customHeight="1">
      <c r="A60" s="268">
        <v>51</v>
      </c>
      <c r="B60" s="185" t="s">
        <v>211</v>
      </c>
      <c r="C60" s="262" t="s">
        <v>378</v>
      </c>
      <c r="D60" s="199">
        <v>1075231137</v>
      </c>
      <c r="E60" s="276" t="s">
        <v>379</v>
      </c>
      <c r="F60" s="274" t="s">
        <v>254</v>
      </c>
      <c r="G60" s="200"/>
      <c r="H60" s="183">
        <v>46492</v>
      </c>
      <c r="I60" s="282" t="s">
        <v>185</v>
      </c>
      <c r="J60" s="161" t="s">
        <v>22</v>
      </c>
      <c r="K60" s="166">
        <v>5</v>
      </c>
      <c r="L60" s="166" t="s">
        <v>84</v>
      </c>
      <c r="M60" s="211" t="s">
        <v>73</v>
      </c>
      <c r="N60" s="172" t="s">
        <v>30</v>
      </c>
      <c r="O60" s="166" t="s">
        <v>30</v>
      </c>
      <c r="P60" s="166" t="s">
        <v>30</v>
      </c>
      <c r="Q60" s="282" t="s">
        <v>30</v>
      </c>
      <c r="R60" s="161" t="s">
        <v>22</v>
      </c>
      <c r="S60" s="166">
        <v>4</v>
      </c>
      <c r="T60" s="166" t="s">
        <v>84</v>
      </c>
      <c r="U60" s="211" t="s">
        <v>73</v>
      </c>
      <c r="V60" s="172" t="s">
        <v>30</v>
      </c>
      <c r="W60" s="166" t="s">
        <v>30</v>
      </c>
      <c r="X60" s="166" t="s">
        <v>30</v>
      </c>
      <c r="Y60" s="282" t="s">
        <v>30</v>
      </c>
      <c r="Z60" s="210" t="s">
        <v>30</v>
      </c>
      <c r="AA60" s="166" t="s">
        <v>30</v>
      </c>
      <c r="AB60" s="166" t="s">
        <v>30</v>
      </c>
      <c r="AC60" s="281" t="s">
        <v>30</v>
      </c>
      <c r="AD60" s="172" t="s">
        <v>30</v>
      </c>
      <c r="AE60" s="166" t="s">
        <v>30</v>
      </c>
      <c r="AF60" s="166" t="s">
        <v>30</v>
      </c>
      <c r="AG60" s="282" t="s">
        <v>30</v>
      </c>
      <c r="AH60" s="210" t="s">
        <v>21</v>
      </c>
      <c r="AI60" s="160"/>
      <c r="AJ60" s="166"/>
      <c r="AK60" s="170" t="s">
        <v>75</v>
      </c>
      <c r="AL60" s="161"/>
      <c r="AM60" s="160"/>
      <c r="AN60" s="160"/>
      <c r="AO60" s="155"/>
      <c r="AP60" s="299"/>
      <c r="AQ60" s="160"/>
      <c r="AR60" s="300"/>
      <c r="AS60" s="301"/>
      <c r="AT60" s="299"/>
      <c r="AU60" s="160"/>
      <c r="AV60" s="300"/>
      <c r="AW60" s="301"/>
      <c r="AX60" s="210" t="s">
        <v>30</v>
      </c>
      <c r="AY60" s="166" t="s">
        <v>30</v>
      </c>
      <c r="AZ60" s="166" t="s">
        <v>30</v>
      </c>
      <c r="BA60" s="287">
        <v>46501</v>
      </c>
      <c r="BB60" s="166" t="s">
        <v>30</v>
      </c>
      <c r="BC60" s="166" t="s">
        <v>30</v>
      </c>
      <c r="BD60" s="166" t="s">
        <v>30</v>
      </c>
      <c r="BE60" s="171">
        <v>46461</v>
      </c>
      <c r="BF60" s="210" t="s">
        <v>22</v>
      </c>
      <c r="BG60" s="166">
        <v>5</v>
      </c>
      <c r="BH60" s="166" t="s">
        <v>84</v>
      </c>
      <c r="BI60" s="170" t="s">
        <v>73</v>
      </c>
      <c r="BJ60" s="210" t="s">
        <v>30</v>
      </c>
      <c r="BK60" s="166" t="s">
        <v>30</v>
      </c>
      <c r="BL60" s="166" t="s">
        <v>30</v>
      </c>
      <c r="BM60" s="166" t="s">
        <v>30</v>
      </c>
      <c r="BN60" s="159" t="s">
        <v>22</v>
      </c>
      <c r="BO60" s="160">
        <v>5</v>
      </c>
      <c r="BP60" s="160" t="s">
        <v>84</v>
      </c>
      <c r="BQ60" s="155">
        <v>46521</v>
      </c>
      <c r="BR60" s="210" t="s">
        <v>30</v>
      </c>
      <c r="BS60" s="166" t="s">
        <v>30</v>
      </c>
      <c r="BT60" s="166" t="s">
        <v>30</v>
      </c>
      <c r="BU60" s="155">
        <v>46432</v>
      </c>
    </row>
    <row r="61" spans="1:74" s="294" customFormat="1" ht="27" customHeight="1">
      <c r="A61" s="268">
        <v>52</v>
      </c>
      <c r="B61" s="185" t="s">
        <v>211</v>
      </c>
      <c r="C61" s="262" t="s">
        <v>381</v>
      </c>
      <c r="D61" s="199">
        <v>7171400</v>
      </c>
      <c r="E61" s="276" t="s">
        <v>382</v>
      </c>
      <c r="F61" s="274" t="s">
        <v>254</v>
      </c>
      <c r="G61" s="200"/>
      <c r="H61" s="183">
        <v>46518</v>
      </c>
      <c r="I61" s="282" t="s">
        <v>185</v>
      </c>
      <c r="J61" s="161" t="s">
        <v>22</v>
      </c>
      <c r="K61" s="166">
        <v>5</v>
      </c>
      <c r="L61" s="166" t="s">
        <v>84</v>
      </c>
      <c r="M61" s="211" t="s">
        <v>73</v>
      </c>
      <c r="N61" s="172" t="s">
        <v>30</v>
      </c>
      <c r="O61" s="166" t="s">
        <v>30</v>
      </c>
      <c r="P61" s="166" t="s">
        <v>30</v>
      </c>
      <c r="Q61" s="282" t="s">
        <v>30</v>
      </c>
      <c r="R61" s="168" t="s">
        <v>22</v>
      </c>
      <c r="S61" s="173">
        <v>5</v>
      </c>
      <c r="T61" s="166" t="s">
        <v>84</v>
      </c>
      <c r="U61" s="211" t="s">
        <v>73</v>
      </c>
      <c r="V61" s="172" t="s">
        <v>30</v>
      </c>
      <c r="W61" s="166" t="s">
        <v>30</v>
      </c>
      <c r="X61" s="166" t="s">
        <v>30</v>
      </c>
      <c r="Y61" s="282" t="s">
        <v>30</v>
      </c>
      <c r="Z61" s="210" t="s">
        <v>30</v>
      </c>
      <c r="AA61" s="166" t="s">
        <v>30</v>
      </c>
      <c r="AB61" s="166" t="s">
        <v>30</v>
      </c>
      <c r="AC61" s="281" t="s">
        <v>30</v>
      </c>
      <c r="AD61" s="172" t="s">
        <v>30</v>
      </c>
      <c r="AE61" s="166" t="s">
        <v>30</v>
      </c>
      <c r="AF61" s="166" t="s">
        <v>30</v>
      </c>
      <c r="AG61" s="282" t="s">
        <v>30</v>
      </c>
      <c r="AH61" s="210" t="s">
        <v>21</v>
      </c>
      <c r="AI61" s="160"/>
      <c r="AJ61" s="166"/>
      <c r="AK61" s="170" t="s">
        <v>75</v>
      </c>
      <c r="AL61" s="168"/>
      <c r="AM61" s="167"/>
      <c r="AN61" s="167"/>
      <c r="AO61" s="203"/>
      <c r="AP61" s="302"/>
      <c r="AQ61" s="160"/>
      <c r="AR61" s="303"/>
      <c r="AS61" s="304"/>
      <c r="AT61" s="302"/>
      <c r="AU61" s="160"/>
      <c r="AV61" s="303"/>
      <c r="AW61" s="304"/>
      <c r="AX61" s="268" t="s">
        <v>22</v>
      </c>
      <c r="AY61" s="284">
        <v>5</v>
      </c>
      <c r="AZ61" s="160" t="s">
        <v>84</v>
      </c>
      <c r="BA61" s="287">
        <v>46802</v>
      </c>
      <c r="BB61" s="172" t="s">
        <v>21</v>
      </c>
      <c r="BC61" s="166"/>
      <c r="BD61" s="166"/>
      <c r="BE61" s="205" t="s">
        <v>76</v>
      </c>
      <c r="BF61" s="210" t="s">
        <v>22</v>
      </c>
      <c r="BG61" s="166">
        <v>5</v>
      </c>
      <c r="BH61" s="166" t="s">
        <v>84</v>
      </c>
      <c r="BI61" s="170" t="s">
        <v>73</v>
      </c>
      <c r="BJ61" s="210" t="s">
        <v>30</v>
      </c>
      <c r="BK61" s="166" t="s">
        <v>30</v>
      </c>
      <c r="BL61" s="166" t="s">
        <v>30</v>
      </c>
      <c r="BM61" s="166" t="s">
        <v>30</v>
      </c>
      <c r="BN61" s="159" t="s">
        <v>22</v>
      </c>
      <c r="BO61" s="160">
        <v>5</v>
      </c>
      <c r="BP61" s="160" t="s">
        <v>84</v>
      </c>
      <c r="BQ61" s="155">
        <v>46528</v>
      </c>
      <c r="BR61" s="268" t="s">
        <v>22</v>
      </c>
      <c r="BS61" s="160" t="s">
        <v>329</v>
      </c>
      <c r="BT61" s="160" t="s">
        <v>84</v>
      </c>
      <c r="BU61" s="155">
        <v>46894</v>
      </c>
    </row>
    <row r="62" spans="1:74" s="291" customFormat="1" ht="26.25" customHeight="1">
      <c r="A62" s="268">
        <v>53</v>
      </c>
      <c r="B62" s="185" t="s">
        <v>211</v>
      </c>
      <c r="C62" s="262" t="s">
        <v>392</v>
      </c>
      <c r="D62" s="199">
        <v>1002729730</v>
      </c>
      <c r="E62" s="276" t="s">
        <v>390</v>
      </c>
      <c r="F62" s="194" t="s">
        <v>393</v>
      </c>
      <c r="G62" s="200"/>
      <c r="H62" s="183">
        <v>46486</v>
      </c>
      <c r="I62" s="282" t="s">
        <v>185</v>
      </c>
      <c r="J62" s="168" t="s">
        <v>22</v>
      </c>
      <c r="K62" s="173">
        <v>5</v>
      </c>
      <c r="L62" s="173" t="s">
        <v>84</v>
      </c>
      <c r="M62" s="269" t="s">
        <v>75</v>
      </c>
      <c r="N62" s="159" t="s">
        <v>22</v>
      </c>
      <c r="O62" s="162">
        <v>5</v>
      </c>
      <c r="P62" s="167" t="s">
        <v>84</v>
      </c>
      <c r="Q62" s="305" t="s">
        <v>72</v>
      </c>
      <c r="R62" s="168" t="s">
        <v>22</v>
      </c>
      <c r="S62" s="173">
        <v>5</v>
      </c>
      <c r="T62" s="173" t="s">
        <v>84</v>
      </c>
      <c r="U62" s="269" t="s">
        <v>75</v>
      </c>
      <c r="V62" s="172" t="s">
        <v>30</v>
      </c>
      <c r="W62" s="166" t="s">
        <v>30</v>
      </c>
      <c r="X62" s="166" t="s">
        <v>30</v>
      </c>
      <c r="Y62" s="282" t="s">
        <v>30</v>
      </c>
      <c r="Z62" s="210" t="s">
        <v>30</v>
      </c>
      <c r="AA62" s="166" t="s">
        <v>30</v>
      </c>
      <c r="AB62" s="166" t="s">
        <v>30</v>
      </c>
      <c r="AC62" s="281" t="s">
        <v>30</v>
      </c>
      <c r="AD62" s="172" t="s">
        <v>30</v>
      </c>
      <c r="AE62" s="166" t="s">
        <v>30</v>
      </c>
      <c r="AF62" s="166" t="s">
        <v>30</v>
      </c>
      <c r="AG62" s="282" t="s">
        <v>30</v>
      </c>
      <c r="AH62" s="268" t="s">
        <v>21</v>
      </c>
      <c r="AI62" s="167"/>
      <c r="AJ62" s="173"/>
      <c r="AK62" s="170" t="s">
        <v>75</v>
      </c>
      <c r="AL62" s="168"/>
      <c r="AM62" s="167"/>
      <c r="AN62" s="167"/>
      <c r="AO62" s="203"/>
      <c r="AP62" s="306"/>
      <c r="AQ62" s="167"/>
      <c r="AR62" s="307"/>
      <c r="AS62" s="308"/>
      <c r="AT62" s="306"/>
      <c r="AU62" s="167"/>
      <c r="AV62" s="307"/>
      <c r="AW62" s="308"/>
      <c r="AX62" s="210" t="s">
        <v>30</v>
      </c>
      <c r="AY62" s="166" t="s">
        <v>30</v>
      </c>
      <c r="AZ62" s="166" t="s">
        <v>30</v>
      </c>
      <c r="BA62" s="166" t="s">
        <v>30</v>
      </c>
      <c r="BB62" s="166" t="s">
        <v>30</v>
      </c>
      <c r="BC62" s="166" t="s">
        <v>30</v>
      </c>
      <c r="BD62" s="166" t="s">
        <v>30</v>
      </c>
      <c r="BE62" s="282" t="s">
        <v>30</v>
      </c>
      <c r="BF62" s="210" t="s">
        <v>30</v>
      </c>
      <c r="BG62" s="166" t="s">
        <v>30</v>
      </c>
      <c r="BH62" s="166" t="s">
        <v>30</v>
      </c>
      <c r="BI62" s="282" t="s">
        <v>30</v>
      </c>
      <c r="BJ62" s="268" t="s">
        <v>22</v>
      </c>
      <c r="BK62" s="166">
        <v>5</v>
      </c>
      <c r="BL62" s="166" t="s">
        <v>84</v>
      </c>
      <c r="BM62" s="277" t="s">
        <v>74</v>
      </c>
      <c r="BN62" s="165" t="s">
        <v>22</v>
      </c>
      <c r="BO62" s="167">
        <v>5</v>
      </c>
      <c r="BP62" s="167" t="s">
        <v>84</v>
      </c>
      <c r="BQ62" s="203">
        <v>46569</v>
      </c>
      <c r="BR62" s="210" t="s">
        <v>30</v>
      </c>
      <c r="BS62" s="166" t="s">
        <v>30</v>
      </c>
      <c r="BT62" s="166" t="s">
        <v>30</v>
      </c>
      <c r="BU62" s="155">
        <v>46489</v>
      </c>
    </row>
    <row r="63" spans="1:74" s="294" customFormat="1" ht="26.25" customHeight="1">
      <c r="A63" s="268">
        <v>54</v>
      </c>
      <c r="B63" s="185" t="s">
        <v>211</v>
      </c>
      <c r="C63" s="262" t="s">
        <v>391</v>
      </c>
      <c r="D63" s="199">
        <v>1020837503</v>
      </c>
      <c r="E63" s="276" t="s">
        <v>394</v>
      </c>
      <c r="F63" s="194" t="s">
        <v>393</v>
      </c>
      <c r="G63" s="200"/>
      <c r="H63" s="183">
        <v>46486</v>
      </c>
      <c r="I63" s="282" t="s">
        <v>185</v>
      </c>
      <c r="J63" s="168" t="s">
        <v>22</v>
      </c>
      <c r="K63" s="173">
        <v>5</v>
      </c>
      <c r="L63" s="166" t="s">
        <v>84</v>
      </c>
      <c r="M63" s="211" t="s">
        <v>72</v>
      </c>
      <c r="N63" s="159" t="s">
        <v>22</v>
      </c>
      <c r="O63" s="162">
        <v>5</v>
      </c>
      <c r="P63" s="167" t="s">
        <v>84</v>
      </c>
      <c r="Q63" s="305" t="s">
        <v>72</v>
      </c>
      <c r="R63" s="168" t="s">
        <v>22</v>
      </c>
      <c r="S63" s="173">
        <v>4.5</v>
      </c>
      <c r="T63" s="166" t="s">
        <v>84</v>
      </c>
      <c r="U63" s="211" t="s">
        <v>72</v>
      </c>
      <c r="V63" s="172" t="s">
        <v>30</v>
      </c>
      <c r="W63" s="166" t="s">
        <v>30</v>
      </c>
      <c r="X63" s="166" t="s">
        <v>30</v>
      </c>
      <c r="Y63" s="282" t="s">
        <v>30</v>
      </c>
      <c r="Z63" s="210" t="s">
        <v>30</v>
      </c>
      <c r="AA63" s="166" t="s">
        <v>30</v>
      </c>
      <c r="AB63" s="166" t="s">
        <v>30</v>
      </c>
      <c r="AC63" s="281" t="s">
        <v>30</v>
      </c>
      <c r="AD63" s="172" t="s">
        <v>30</v>
      </c>
      <c r="AE63" s="166" t="s">
        <v>30</v>
      </c>
      <c r="AF63" s="166" t="s">
        <v>30</v>
      </c>
      <c r="AG63" s="282" t="s">
        <v>30</v>
      </c>
      <c r="AH63" s="268" t="s">
        <v>21</v>
      </c>
      <c r="AI63" s="167"/>
      <c r="AJ63" s="173"/>
      <c r="AK63" s="170" t="s">
        <v>75</v>
      </c>
      <c r="AL63" s="168"/>
      <c r="AM63" s="167"/>
      <c r="AN63" s="167"/>
      <c r="AO63" s="203"/>
      <c r="AP63" s="302"/>
      <c r="AQ63" s="167"/>
      <c r="AR63" s="303"/>
      <c r="AS63" s="304"/>
      <c r="AT63" s="302"/>
      <c r="AU63" s="167"/>
      <c r="AV63" s="303"/>
      <c r="AW63" s="304"/>
      <c r="AX63" s="210" t="s">
        <v>30</v>
      </c>
      <c r="AY63" s="166" t="s">
        <v>30</v>
      </c>
      <c r="AZ63" s="166" t="s">
        <v>30</v>
      </c>
      <c r="BA63" s="166" t="s">
        <v>30</v>
      </c>
      <c r="BB63" s="166" t="s">
        <v>30</v>
      </c>
      <c r="BC63" s="166" t="s">
        <v>30</v>
      </c>
      <c r="BD63" s="166" t="s">
        <v>30</v>
      </c>
      <c r="BE63" s="282" t="s">
        <v>30</v>
      </c>
      <c r="BF63" s="210" t="s">
        <v>30</v>
      </c>
      <c r="BG63" s="166" t="s">
        <v>30</v>
      </c>
      <c r="BH63" s="166" t="s">
        <v>30</v>
      </c>
      <c r="BI63" s="282" t="s">
        <v>30</v>
      </c>
      <c r="BJ63" s="268" t="s">
        <v>22</v>
      </c>
      <c r="BK63" s="166">
        <v>5</v>
      </c>
      <c r="BL63" s="166" t="s">
        <v>84</v>
      </c>
      <c r="BM63" s="277" t="s">
        <v>74</v>
      </c>
      <c r="BN63" s="165" t="s">
        <v>22</v>
      </c>
      <c r="BO63" s="167">
        <v>4.5</v>
      </c>
      <c r="BP63" s="160" t="s">
        <v>84</v>
      </c>
      <c r="BQ63" s="203">
        <v>46503</v>
      </c>
      <c r="BR63" s="165" t="s">
        <v>22</v>
      </c>
      <c r="BS63" s="167">
        <v>4.5</v>
      </c>
      <c r="BT63" s="160" t="s">
        <v>84</v>
      </c>
      <c r="BU63" s="203">
        <v>46869</v>
      </c>
    </row>
    <row r="64" spans="1:74" ht="18" hidden="1">
      <c r="A64" s="405" t="s">
        <v>95</v>
      </c>
      <c r="B64" s="406"/>
      <c r="C64" s="406"/>
      <c r="D64" s="406"/>
      <c r="E64" s="406"/>
      <c r="F64" s="406"/>
      <c r="G64" s="406"/>
      <c r="H64" s="406"/>
      <c r="I64" s="407"/>
      <c r="J64" s="386">
        <f>IFERROR((COUNTIF(J10:J63,"E"))/(COUNTIF(J10:J63,"E")+COUNTIF(J10:J63,"P")),"Pendiente")</f>
        <v>1</v>
      </c>
      <c r="K64" s="387"/>
      <c r="L64" s="387"/>
      <c r="M64" s="388"/>
      <c r="N64" s="395">
        <f t="shared" ref="N64" si="0">IFERROR((COUNTIF(N10:N59,"E"))/(COUNTIF(N10:N59,"E")+COUNTIF(N10:N59,"P")),"Pendiente")</f>
        <v>1</v>
      </c>
      <c r="O64" s="387"/>
      <c r="P64" s="387"/>
      <c r="Q64" s="392"/>
      <c r="R64" s="386">
        <f t="shared" ref="R64" si="1">IFERROR((COUNTIF(R10:R59,"E"))/(COUNTIF(R10:R59,"E")+COUNTIF(R10:R59,"P")),"Pendiente")</f>
        <v>1</v>
      </c>
      <c r="S64" s="387"/>
      <c r="T64" s="387"/>
      <c r="U64" s="388"/>
      <c r="V64" s="395">
        <f t="shared" ref="V64" si="2">IFERROR((COUNTIF(V10:V59,"E"))/(COUNTIF(V10:V59,"E")+COUNTIF(V10:V59,"P")),"Pendiente")</f>
        <v>1</v>
      </c>
      <c r="W64" s="387"/>
      <c r="X64" s="387"/>
      <c r="Y64" s="392"/>
      <c r="Z64" s="386">
        <f t="shared" ref="Z64" si="3">IFERROR((COUNTIF(Z10:Z59,"E"))/(COUNTIF(Z10:Z59,"E")+COUNTIF(Z10:Z59,"P")),"Pendiente")</f>
        <v>1</v>
      </c>
      <c r="AA64" s="387"/>
      <c r="AB64" s="387"/>
      <c r="AC64" s="392"/>
      <c r="AD64" s="386">
        <f t="shared" ref="AD64" si="4">IFERROR((COUNTIF(AD10:AD59,"E"))/(COUNTIF(AD10:AD59,"E")+COUNTIF(AD10:AD59,"P")),"Pendiente")</f>
        <v>1</v>
      </c>
      <c r="AE64" s="387"/>
      <c r="AF64" s="387"/>
      <c r="AG64" s="392"/>
      <c r="AH64" s="386">
        <f t="shared" ref="AH64" si="5">IFERROR((COUNTIF(AH10:AH59,"E"))/(COUNTIF(AH10:AH59,"E")+COUNTIF(AH10:AH59,"P")),"Pendiente")</f>
        <v>0.83333333333333337</v>
      </c>
      <c r="AI64" s="387"/>
      <c r="AJ64" s="387"/>
      <c r="AK64" s="388"/>
      <c r="AL64" s="386" t="str">
        <f t="shared" ref="AL64" si="6">IFERROR((COUNTIF(AL10:AL59,"E"))/(COUNTIF(AL10:AL59,"E")+COUNTIF(AL10:AL59,"P")),"Pendiente")</f>
        <v>Pendiente</v>
      </c>
      <c r="AM64" s="387"/>
      <c r="AN64" s="387"/>
      <c r="AO64" s="388"/>
      <c r="AP64" s="386" t="str">
        <f t="shared" ref="AP64" si="7">IFERROR((COUNTIF(AP10:AP59,"E"))/(COUNTIF(AP10:AP59,"E")+COUNTIF(AP10:AP59,"P")),"Pendiente")</f>
        <v>Pendiente</v>
      </c>
      <c r="AQ64" s="387"/>
      <c r="AR64" s="387"/>
      <c r="AS64" s="388"/>
      <c r="AT64" s="386" t="str">
        <f t="shared" ref="AT64" si="8">IFERROR((COUNTIF(AT10:AT59,"E"))/(COUNTIF(AT10:AT59,"E")+COUNTIF(AT10:AT59,"P")),"Pendiente")</f>
        <v>Pendiente</v>
      </c>
      <c r="AU64" s="387"/>
      <c r="AV64" s="387"/>
      <c r="AW64" s="388"/>
      <c r="AX64" s="386">
        <f t="shared" ref="AX64" si="9">IFERROR((COUNTIF(AX10:AX59,"E"))/(COUNTIF(AX10:AX59,"E")+COUNTIF(AX10:AX59,"P")),"Pendiente")</f>
        <v>1</v>
      </c>
      <c r="AY64" s="387"/>
      <c r="AZ64" s="387"/>
      <c r="BA64" s="388"/>
      <c r="BB64" s="395">
        <f t="shared" ref="BB64" si="10">IFERROR((COUNTIF(BB10:BB59,"E"))/(COUNTIF(BB10:BB59,"E")+COUNTIF(BB10:BB59,"P")),"Pendiente")</f>
        <v>1</v>
      </c>
      <c r="BC64" s="387"/>
      <c r="BD64" s="387"/>
      <c r="BE64" s="392"/>
      <c r="BF64" s="386">
        <f t="shared" ref="BF64" si="11">IFERROR((COUNTIF(BF10:BF59,"E"))/(COUNTIF(BF10:BF59,"E")+COUNTIF(BF10:BF59,"P")),"Pendiente")</f>
        <v>1</v>
      </c>
      <c r="BG64" s="387"/>
      <c r="BH64" s="387"/>
      <c r="BI64" s="392"/>
      <c r="BJ64" s="386">
        <f>IFERROR((COUNTIF(BJ10:BJ63,"E"))/(COUNTIF(BJ10:BJ63,"E")+COUNTIF(BJ10:BJ63,"P")),"Pendiente")</f>
        <v>1</v>
      </c>
      <c r="BK64" s="387"/>
      <c r="BL64" s="387"/>
      <c r="BM64" s="388"/>
      <c r="BN64" s="395">
        <f t="shared" ref="BN64" si="12">IFERROR((COUNTIF(BN10:BN59,"E"))/(COUNTIF(BN10:BN59,"E")+COUNTIF(BN10:BN59,"P")),"Pendiente")</f>
        <v>1</v>
      </c>
      <c r="BO64" s="387"/>
      <c r="BP64" s="387"/>
      <c r="BQ64" s="388"/>
      <c r="BR64" s="386">
        <f t="shared" ref="BR64" si="13">IFERROR((COUNTIF(BR10:BR59,"E"))/(COUNTIF(BR10:BR59,"E")+COUNTIF(BR10:BR59,"P")),"Pendiente")</f>
        <v>1</v>
      </c>
      <c r="BS64" s="387"/>
      <c r="BT64" s="387"/>
      <c r="BU64" s="388"/>
    </row>
    <row r="65" spans="1:78" ht="18" hidden="1">
      <c r="A65" s="408" t="s">
        <v>96</v>
      </c>
      <c r="B65" s="409"/>
      <c r="C65" s="409"/>
      <c r="D65" s="409"/>
      <c r="E65" s="409"/>
      <c r="F65" s="409"/>
      <c r="G65" s="409"/>
      <c r="H65" s="409"/>
      <c r="I65" s="410"/>
      <c r="J65" s="393">
        <f>IFERROR(IF(L8="SI",AVERAGE(K10:K59),"N.A.")/(5),"N/A")</f>
        <v>0.99166666666666659</v>
      </c>
      <c r="K65" s="390"/>
      <c r="L65" s="390"/>
      <c r="M65" s="394"/>
      <c r="N65" s="389">
        <f t="shared" ref="N65" si="14">IFERROR(IF(P8="SI",AVERAGE(O10:O59),"N.A.")/(5),"N/A")</f>
        <v>1</v>
      </c>
      <c r="O65" s="390"/>
      <c r="P65" s="390"/>
      <c r="Q65" s="391"/>
      <c r="R65" s="393">
        <f t="shared" ref="R65" si="15">IFERROR(IF(T8="SI",AVERAGE(S10:S59),"N.A.")/(5),"N/A")</f>
        <v>0.95882352941176463</v>
      </c>
      <c r="S65" s="390"/>
      <c r="T65" s="390"/>
      <c r="U65" s="394"/>
      <c r="V65" s="389" t="str">
        <f t="shared" ref="V65" si="16">IFERROR(IF(X8="SI",AVERAGE(W10:W59),"N.A.")/(5),"N/A")</f>
        <v>N/A</v>
      </c>
      <c r="W65" s="390"/>
      <c r="X65" s="390"/>
      <c r="Y65" s="391"/>
      <c r="Z65" s="393">
        <f t="shared" ref="Z65" si="17">IFERROR(IF(AB8="SI",AVERAGE(AA10:AA59),"N.A.")/(5),"N/A")</f>
        <v>1</v>
      </c>
      <c r="AA65" s="390"/>
      <c r="AB65" s="390"/>
      <c r="AC65" s="391"/>
      <c r="AD65" s="393">
        <f t="shared" ref="AD65" si="18">IFERROR(IF(AF8="SI",AVERAGE(AE10:AE59),"N.A.")/(5),"N/A")</f>
        <v>1</v>
      </c>
      <c r="AE65" s="390"/>
      <c r="AF65" s="390"/>
      <c r="AG65" s="391"/>
      <c r="AH65" s="393">
        <f t="shared" ref="AH65" si="19">IFERROR(IF(AJ8="SI",AVERAGE(AI10:AI59),"N.A.")/(5),"N/A")</f>
        <v>0.98000000000000009</v>
      </c>
      <c r="AI65" s="390"/>
      <c r="AJ65" s="390"/>
      <c r="AK65" s="394"/>
      <c r="AL65" s="393" t="str">
        <f t="shared" ref="AL65" si="20">IFERROR(IF(AN8="SI",AVERAGE(AM10:AM59),"N.A.")/(5),"N/A")</f>
        <v>N/A</v>
      </c>
      <c r="AM65" s="390"/>
      <c r="AN65" s="390"/>
      <c r="AO65" s="394"/>
      <c r="AP65" s="393" t="str">
        <f t="shared" ref="AP65" si="21">IFERROR(IF(AR8="SI",AVERAGE(AQ10:AQ59),"N.A.")/(5),"N/A")</f>
        <v>N/A</v>
      </c>
      <c r="AQ65" s="390"/>
      <c r="AR65" s="390"/>
      <c r="AS65" s="394"/>
      <c r="AT65" s="393" t="str">
        <f t="shared" ref="AT65" si="22">IFERROR(IF(AV8="SI",AVERAGE(AU10:AU59),"N.A.")/(5),"N/A")</f>
        <v>N/A</v>
      </c>
      <c r="AU65" s="390"/>
      <c r="AV65" s="390"/>
      <c r="AW65" s="394"/>
      <c r="AX65" s="393">
        <f t="shared" ref="AX65" si="23">IFERROR(IF(AZ8="SI",AVERAGE(AY10:AY59),"N.A.")/(5),"N/A")</f>
        <v>1</v>
      </c>
      <c r="AY65" s="390"/>
      <c r="AZ65" s="390"/>
      <c r="BA65" s="394"/>
      <c r="BB65" s="389">
        <f t="shared" ref="BB65" si="24">IFERROR(IF(BD8="SI",AVERAGE(BC10:BC59),"N.A.")/(5),"N/A")</f>
        <v>1</v>
      </c>
      <c r="BC65" s="390"/>
      <c r="BD65" s="390"/>
      <c r="BE65" s="391"/>
      <c r="BF65" s="393">
        <f t="shared" ref="BF65" si="25">IFERROR(IF(BH8="SI",AVERAGE(BG10:BG59),"N.A.")/(5),"N/A")</f>
        <v>1</v>
      </c>
      <c r="BG65" s="390"/>
      <c r="BH65" s="390"/>
      <c r="BI65" s="391"/>
      <c r="BJ65" s="393">
        <f>IFERROR(IF(BL8="SI",AVERAGE(BK10:BK63),"N.A.")/(5),"N/A")</f>
        <v>1</v>
      </c>
      <c r="BK65" s="390"/>
      <c r="BL65" s="390"/>
      <c r="BM65" s="394"/>
      <c r="BN65" s="389">
        <f t="shared" ref="BN65" si="26">IFERROR(IF(BP8="SI",AVERAGE(BO10:BO59),"N.A.")/(5),"N/A")</f>
        <v>0.99310344827586206</v>
      </c>
      <c r="BO65" s="390"/>
      <c r="BP65" s="390"/>
      <c r="BQ65" s="394"/>
      <c r="BR65" s="393">
        <f t="shared" ref="BR65" si="27">IFERROR(IF(BT8="SI",AVERAGE(BS10:BS59),"N.A.")/(5),"N/A")</f>
        <v>0.97826086956521741</v>
      </c>
      <c r="BS65" s="390"/>
      <c r="BT65" s="390"/>
      <c r="BU65" s="394"/>
      <c r="BW65" s="189"/>
      <c r="BX65" s="189"/>
      <c r="BY65" s="189"/>
      <c r="BZ65" s="189"/>
    </row>
    <row r="66" spans="1:78" ht="18.75" hidden="1" thickBot="1">
      <c r="A66" s="402" t="s">
        <v>97</v>
      </c>
      <c r="B66" s="403"/>
      <c r="C66" s="403"/>
      <c r="D66" s="403"/>
      <c r="E66" s="403"/>
      <c r="F66" s="403"/>
      <c r="G66" s="403"/>
      <c r="H66" s="403"/>
      <c r="I66" s="404"/>
      <c r="J66" s="393">
        <f>IFERROR(COUNTIF(L10:L59,"SI")/COUNTIF(J10:J59,"E"),"N/A")</f>
        <v>1</v>
      </c>
      <c r="K66" s="390"/>
      <c r="L66" s="390"/>
      <c r="M66" s="394"/>
      <c r="N66" s="389">
        <f t="shared" ref="N66" si="28">IFERROR(COUNTIF(P10:P59,"SI")/COUNTIF(N10:N59,"E"),"N/A")</f>
        <v>1</v>
      </c>
      <c r="O66" s="390"/>
      <c r="P66" s="390"/>
      <c r="Q66" s="391"/>
      <c r="R66" s="393">
        <f t="shared" ref="R66" si="29">IFERROR(COUNTIF(T10:T59,"SI")/COUNTIF(R10:R59,"E"),"N/A")</f>
        <v>1</v>
      </c>
      <c r="S66" s="390"/>
      <c r="T66" s="390"/>
      <c r="U66" s="394"/>
      <c r="V66" s="389">
        <f t="shared" ref="V66" si="30">IFERROR(COUNTIF(X10:X59,"SI")/COUNTIF(V10:V59,"E"),"N/A")</f>
        <v>1</v>
      </c>
      <c r="W66" s="390"/>
      <c r="X66" s="390"/>
      <c r="Y66" s="391"/>
      <c r="Z66" s="393">
        <f t="shared" ref="Z66" si="31">IFERROR(COUNTIF(AB10:AB59,"SI")/COUNTIF(Z10:Z59,"E"),"N/A")</f>
        <v>1</v>
      </c>
      <c r="AA66" s="390"/>
      <c r="AB66" s="390"/>
      <c r="AC66" s="391"/>
      <c r="AD66" s="393">
        <f t="shared" ref="AD66" si="32">IFERROR(COUNTIF(AF10:AF59,"SI")/COUNTIF(AD10:AD59,"E"),"N/A")</f>
        <v>1</v>
      </c>
      <c r="AE66" s="390"/>
      <c r="AF66" s="390"/>
      <c r="AG66" s="391"/>
      <c r="AH66" s="393">
        <f t="shared" ref="AH66" si="33">IFERROR(COUNTIF(AJ10:AJ59,"SI")/COUNTIF(AH10:AH59,"E"),"N/A")</f>
        <v>1</v>
      </c>
      <c r="AI66" s="390"/>
      <c r="AJ66" s="390"/>
      <c r="AK66" s="394"/>
      <c r="AL66" s="393" t="str">
        <f t="shared" ref="AL66" si="34">IFERROR(COUNTIF(AN10:AN59,"SI")/COUNTIF(AL10:AL59,"E"),"N/A")</f>
        <v>N/A</v>
      </c>
      <c r="AM66" s="390"/>
      <c r="AN66" s="390"/>
      <c r="AO66" s="394"/>
      <c r="AP66" s="393" t="str">
        <f t="shared" ref="AP66" si="35">IFERROR(COUNTIF(AR10:AR59,"SI")/COUNTIF(AP10:AP59,"E"),"N/A")</f>
        <v>N/A</v>
      </c>
      <c r="AQ66" s="390"/>
      <c r="AR66" s="390"/>
      <c r="AS66" s="394"/>
      <c r="AT66" s="393" t="str">
        <f t="shared" ref="AT66" si="36">IFERROR(COUNTIF(AV10:AV59,"SI")/COUNTIF(AT10:AT59,"E"),"N/A")</f>
        <v>N/A</v>
      </c>
      <c r="AU66" s="390"/>
      <c r="AV66" s="390"/>
      <c r="AW66" s="394"/>
      <c r="AX66" s="393">
        <f t="shared" ref="AX66" si="37">IFERROR(COUNTIF(AZ10:AZ59,"SI")/COUNTIF(AX10:AX59,"E"),"N/A")</f>
        <v>1</v>
      </c>
      <c r="AY66" s="390"/>
      <c r="AZ66" s="390"/>
      <c r="BA66" s="394"/>
      <c r="BB66" s="389">
        <f t="shared" ref="BB66" si="38">IFERROR(COUNTIF(BD10:BD59,"SI")/COUNTIF(BB10:BB59,"E"),"N/A")</f>
        <v>0.875</v>
      </c>
      <c r="BC66" s="390"/>
      <c r="BD66" s="390"/>
      <c r="BE66" s="391"/>
      <c r="BF66" s="393">
        <f t="shared" ref="BF66" si="39">IFERROR(COUNTIF(BH10:BH59,"SI")/COUNTIF(BF10:BF59,"E"),"N/A")</f>
        <v>1.0833333333333333</v>
      </c>
      <c r="BG66" s="390"/>
      <c r="BH66" s="390"/>
      <c r="BI66" s="391"/>
      <c r="BJ66" s="393">
        <f t="shared" ref="BJ66" si="40">IFERROR(COUNTIF(BL10:BL59,"SI")/COUNTIF(BJ10:BJ59,"E"),"N/A")</f>
        <v>1</v>
      </c>
      <c r="BK66" s="390"/>
      <c r="BL66" s="390"/>
      <c r="BM66" s="394"/>
      <c r="BN66" s="389">
        <f t="shared" ref="BN66" si="41">IFERROR(COUNTIF(BP10:BP59,"SI")/COUNTIF(BN10:BN59,"E"),"N/A")</f>
        <v>1</v>
      </c>
      <c r="BO66" s="390"/>
      <c r="BP66" s="390"/>
      <c r="BQ66" s="394"/>
      <c r="BR66" s="393">
        <f t="shared" ref="BR66" si="42">IFERROR(COUNTIF(BT10:BT59,"SI")/COUNTIF(BR10:BR59,"E"),"N/A")</f>
        <v>1</v>
      </c>
      <c r="BS66" s="390"/>
      <c r="BT66" s="390"/>
      <c r="BU66" s="394"/>
      <c r="BV66" s="189"/>
      <c r="BW66" s="190"/>
      <c r="BY66" s="190"/>
      <c r="BZ66" s="189"/>
    </row>
    <row r="67" spans="1:78" ht="16.5" hidden="1" thickBot="1">
      <c r="A67" s="402" t="s">
        <v>98</v>
      </c>
      <c r="B67" s="403"/>
      <c r="C67" s="403"/>
      <c r="D67" s="403"/>
      <c r="E67" s="403"/>
      <c r="F67" s="403"/>
      <c r="G67" s="403"/>
      <c r="H67" s="403"/>
      <c r="I67" s="404"/>
      <c r="J67" s="396">
        <f>COUNTIF(L10:L63,"SI")</f>
        <v>49</v>
      </c>
      <c r="K67" s="397"/>
      <c r="L67" s="397"/>
      <c r="M67" s="398"/>
      <c r="N67" s="397">
        <f t="shared" ref="N67" si="43">COUNTIF(P10:P59,"SI")</f>
        <v>18</v>
      </c>
      <c r="O67" s="397"/>
      <c r="P67" s="397"/>
      <c r="Q67" s="397"/>
      <c r="R67" s="396">
        <f t="shared" ref="R67" si="44">COUNTIF(T10:T59,"SI")</f>
        <v>45</v>
      </c>
      <c r="S67" s="397"/>
      <c r="T67" s="397"/>
      <c r="U67" s="398"/>
      <c r="V67" s="397">
        <f t="shared" ref="V67" si="45">COUNTIF(X10:X59,"SI")</f>
        <v>21</v>
      </c>
      <c r="W67" s="397"/>
      <c r="X67" s="397"/>
      <c r="Y67" s="397"/>
      <c r="Z67" s="396">
        <f t="shared" ref="Z67" si="46">COUNTIF(AB10:AB59,"SI")</f>
        <v>36</v>
      </c>
      <c r="AA67" s="397"/>
      <c r="AB67" s="397"/>
      <c r="AC67" s="397"/>
      <c r="AD67" s="396">
        <f t="shared" ref="AD67" si="47">COUNTIF(AF10:AF59,"SI")</f>
        <v>37</v>
      </c>
      <c r="AE67" s="397"/>
      <c r="AF67" s="397"/>
      <c r="AG67" s="397"/>
      <c r="AH67" s="396">
        <f>COUNTIF(AJ10:AJ61,"SI")</f>
        <v>20</v>
      </c>
      <c r="AI67" s="397"/>
      <c r="AJ67" s="397"/>
      <c r="AK67" s="398"/>
      <c r="AL67" s="396">
        <f t="shared" ref="AL67" si="48">COUNTIF(AN10:AN59,"SI")</f>
        <v>0</v>
      </c>
      <c r="AM67" s="397"/>
      <c r="AN67" s="397"/>
      <c r="AO67" s="398"/>
      <c r="AP67" s="396">
        <f t="shared" ref="AP67" si="49">COUNTIF(AR10:AR59,"SI")</f>
        <v>0</v>
      </c>
      <c r="AQ67" s="397"/>
      <c r="AR67" s="397"/>
      <c r="AS67" s="398"/>
      <c r="AT67" s="396">
        <f t="shared" ref="AT67" si="50">COUNTIF(AV10:AV59,"SI")</f>
        <v>0</v>
      </c>
      <c r="AU67" s="397"/>
      <c r="AV67" s="397"/>
      <c r="AW67" s="398"/>
      <c r="AX67" s="396">
        <f t="shared" ref="AX67" si="51">COUNTIF(AZ10:AZ59,"SI")</f>
        <v>9</v>
      </c>
      <c r="AY67" s="397"/>
      <c r="AZ67" s="397"/>
      <c r="BA67" s="398"/>
      <c r="BB67" s="397">
        <f t="shared" ref="BB67" si="52">COUNTIF(BD10:BD59,"SI")</f>
        <v>7</v>
      </c>
      <c r="BC67" s="397"/>
      <c r="BD67" s="397"/>
      <c r="BE67" s="397"/>
      <c r="BF67" s="396">
        <f t="shared" ref="BF67" si="53">COUNTIF(BH10:BH59,"SI")</f>
        <v>13</v>
      </c>
      <c r="BG67" s="397"/>
      <c r="BH67" s="397"/>
      <c r="BI67" s="397"/>
      <c r="BJ67" s="396">
        <f>COUNTIF(BL10:BL63,"SI")</f>
        <v>22</v>
      </c>
      <c r="BK67" s="397"/>
      <c r="BL67" s="397"/>
      <c r="BM67" s="398"/>
      <c r="BN67" s="397">
        <f t="shared" ref="BN67" si="54">COUNTIF(BP10:BP59,"SI")</f>
        <v>46</v>
      </c>
      <c r="BO67" s="397"/>
      <c r="BP67" s="397"/>
      <c r="BQ67" s="398"/>
      <c r="BR67" s="396">
        <f t="shared" ref="BR67" si="55">COUNTIF(BT10:BT59,"SI")</f>
        <v>39</v>
      </c>
      <c r="BS67" s="397"/>
      <c r="BT67" s="397"/>
      <c r="BU67" s="398"/>
    </row>
    <row r="68" spans="1:78">
      <c r="A68" s="21"/>
      <c r="B68" s="22"/>
      <c r="C68" s="20"/>
      <c r="D68" s="20"/>
      <c r="E68" s="20"/>
      <c r="F68" s="23"/>
      <c r="G68" s="23"/>
      <c r="H68" s="24"/>
      <c r="I68" s="23"/>
      <c r="J68" s="20"/>
      <c r="K68" s="20"/>
      <c r="L68" s="20"/>
      <c r="M68" s="20"/>
      <c r="Q68" s="20"/>
      <c r="U68" s="20"/>
      <c r="Y68" s="20"/>
      <c r="AC68" s="20"/>
      <c r="AG68" s="20"/>
      <c r="AH68" s="20"/>
      <c r="AI68" s="20"/>
      <c r="AJ68" s="20"/>
      <c r="AK68" s="20"/>
      <c r="AO68" s="20"/>
      <c r="AS68" s="20"/>
      <c r="AW68" s="20"/>
      <c r="BA68" s="20"/>
      <c r="BE68" s="20"/>
      <c r="BI68" s="20"/>
      <c r="BM68" s="20"/>
      <c r="BQ68" s="20"/>
      <c r="BU68" s="20"/>
    </row>
  </sheetData>
  <sheetProtection selectLockedCells="1" sort="0" autoFilter="0" selectUnlockedCells="1"/>
  <autoFilter ref="A8:CC67" xr:uid="{00000000-0009-0000-0000-000003000000}">
    <filterColumn colId="8">
      <filters>
        <filter val="Activo"/>
      </filters>
    </filterColumn>
    <filterColumn colId="9" showButton="0"/>
    <filterColumn colId="13" showButton="0"/>
    <filterColumn colId="17" showButton="0"/>
    <filterColumn colId="21" showButton="0"/>
    <filterColumn colId="25" showButton="0"/>
    <filterColumn colId="29" showButton="0"/>
    <filterColumn colId="33" showButton="0"/>
    <filterColumn colId="37" showButton="0"/>
    <filterColumn colId="41" showButton="0"/>
    <filterColumn colId="45" showButton="0"/>
    <filterColumn colId="49" showButton="0"/>
    <filterColumn colId="53" showButton="0"/>
    <filterColumn colId="57" showButton="0"/>
    <filterColumn colId="61" showButton="0"/>
    <filterColumn colId="65" showButton="0"/>
    <filterColumn colId="69" showButton="0"/>
  </autoFilter>
  <sortState xmlns:xlrd2="http://schemas.microsoft.com/office/spreadsheetml/2017/richdata2" ref="B10:BU41">
    <sortCondition ref="C10:C41"/>
  </sortState>
  <mergeCells count="129">
    <mergeCell ref="A67:I67"/>
    <mergeCell ref="J66:M66"/>
    <mergeCell ref="V67:Y67"/>
    <mergeCell ref="R66:U66"/>
    <mergeCell ref="V66:Y66"/>
    <mergeCell ref="AL66:AO66"/>
    <mergeCell ref="AL67:AO67"/>
    <mergeCell ref="AX7:BA7"/>
    <mergeCell ref="AP64:AS64"/>
    <mergeCell ref="AX65:BA65"/>
    <mergeCell ref="AT7:AW7"/>
    <mergeCell ref="AT64:AW64"/>
    <mergeCell ref="AP67:AS67"/>
    <mergeCell ref="AP7:AS7"/>
    <mergeCell ref="AX64:BA64"/>
    <mergeCell ref="A64:I64"/>
    <mergeCell ref="A65:I65"/>
    <mergeCell ref="AL64:AO64"/>
    <mergeCell ref="A66:I66"/>
    <mergeCell ref="AH8:AI8"/>
    <mergeCell ref="AH64:AK64"/>
    <mergeCell ref="AH65:AK65"/>
    <mergeCell ref="N66:Q66"/>
    <mergeCell ref="AL8:AM8"/>
    <mergeCell ref="D8:D9"/>
    <mergeCell ref="AD66:AG66"/>
    <mergeCell ref="V8:W8"/>
    <mergeCell ref="R64:U64"/>
    <mergeCell ref="V64:Y64"/>
    <mergeCell ref="R65:U65"/>
    <mergeCell ref="AD8:AE8"/>
    <mergeCell ref="AD64:AG64"/>
    <mergeCell ref="AD65:AG65"/>
    <mergeCell ref="BJ67:BM67"/>
    <mergeCell ref="BN67:BQ67"/>
    <mergeCell ref="BR67:BU67"/>
    <mergeCell ref="BJ66:BM66"/>
    <mergeCell ref="BN66:BQ66"/>
    <mergeCell ref="BR66:BU66"/>
    <mergeCell ref="BF67:BI67"/>
    <mergeCell ref="AX8:AY8"/>
    <mergeCell ref="AP65:AS65"/>
    <mergeCell ref="AT65:AW65"/>
    <mergeCell ref="BF66:BI66"/>
    <mergeCell ref="BR65:BU65"/>
    <mergeCell ref="BB66:BE66"/>
    <mergeCell ref="BB67:BE67"/>
    <mergeCell ref="J67:M67"/>
    <mergeCell ref="N67:Q67"/>
    <mergeCell ref="AT67:AW67"/>
    <mergeCell ref="AX67:BA67"/>
    <mergeCell ref="AX66:BA66"/>
    <mergeCell ref="AP66:AS66"/>
    <mergeCell ref="AT66:AW66"/>
    <mergeCell ref="R67:U67"/>
    <mergeCell ref="V6:Y6"/>
    <mergeCell ref="AP6:AS6"/>
    <mergeCell ref="AH6:AK6"/>
    <mergeCell ref="AH7:AK7"/>
    <mergeCell ref="Z6:AC6"/>
    <mergeCell ref="AD6:AG6"/>
    <mergeCell ref="N64:Q64"/>
    <mergeCell ref="N65:Q65"/>
    <mergeCell ref="AD67:AG67"/>
    <mergeCell ref="AH67:AK67"/>
    <mergeCell ref="Z67:AC67"/>
    <mergeCell ref="AL65:AO65"/>
    <mergeCell ref="AH66:AK66"/>
    <mergeCell ref="Z66:AC66"/>
    <mergeCell ref="Z65:AC65"/>
    <mergeCell ref="D1:BU2"/>
    <mergeCell ref="BR7:BU7"/>
    <mergeCell ref="BR8:BS8"/>
    <mergeCell ref="BR64:BU64"/>
    <mergeCell ref="BJ8:BK8"/>
    <mergeCell ref="AP8:AQ8"/>
    <mergeCell ref="AT8:AU8"/>
    <mergeCell ref="V65:Y65"/>
    <mergeCell ref="Z64:AC64"/>
    <mergeCell ref="J64:M64"/>
    <mergeCell ref="J65:M65"/>
    <mergeCell ref="Z8:AA8"/>
    <mergeCell ref="BN64:BQ64"/>
    <mergeCell ref="BB65:BE65"/>
    <mergeCell ref="BF65:BI65"/>
    <mergeCell ref="BB64:BE64"/>
    <mergeCell ref="BF64:BI64"/>
    <mergeCell ref="BN8:BO8"/>
    <mergeCell ref="BJ64:BM64"/>
    <mergeCell ref="BJ65:BM65"/>
    <mergeCell ref="BN65:BQ65"/>
    <mergeCell ref="BF8:BG8"/>
    <mergeCell ref="BB8:BC8"/>
    <mergeCell ref="AL6:AO6"/>
    <mergeCell ref="A1:C2"/>
    <mergeCell ref="J8:K8"/>
    <mergeCell ref="N8:O8"/>
    <mergeCell ref="R8:S8"/>
    <mergeCell ref="A8:A9"/>
    <mergeCell ref="B8:B9"/>
    <mergeCell ref="C8:C9"/>
    <mergeCell ref="F8:F9"/>
    <mergeCell ref="H8:H9"/>
    <mergeCell ref="I8:I9"/>
    <mergeCell ref="A6:I7"/>
    <mergeCell ref="R6:U6"/>
    <mergeCell ref="J7:M7"/>
    <mergeCell ref="J6:M6"/>
    <mergeCell ref="N6:Q6"/>
    <mergeCell ref="A3:C5"/>
    <mergeCell ref="E8:E9"/>
    <mergeCell ref="N7:Q7"/>
    <mergeCell ref="R7:U7"/>
    <mergeCell ref="D3:BU5"/>
    <mergeCell ref="V7:Y7"/>
    <mergeCell ref="AX6:BA6"/>
    <mergeCell ref="BB6:BE6"/>
    <mergeCell ref="AL7:AO7"/>
    <mergeCell ref="BR6:BU6"/>
    <mergeCell ref="BN6:BQ6"/>
    <mergeCell ref="BF7:BI7"/>
    <mergeCell ref="BJ7:BM7"/>
    <mergeCell ref="BN7:BQ7"/>
    <mergeCell ref="BF6:BI6"/>
    <mergeCell ref="BJ6:BM6"/>
    <mergeCell ref="AD7:AG7"/>
    <mergeCell ref="Z7:AC7"/>
    <mergeCell ref="AT6:AW6"/>
    <mergeCell ref="BB7:BE7"/>
  </mergeCells>
  <phoneticPr fontId="43" type="noConversion"/>
  <conditionalFormatting sqref="C10:C23">
    <cfRule type="duplicateValues" dxfId="751" priority="2788"/>
  </conditionalFormatting>
  <conditionalFormatting sqref="C24:C30">
    <cfRule type="duplicateValues" dxfId="750" priority="1810"/>
  </conditionalFormatting>
  <conditionalFormatting sqref="C31:C32">
    <cfRule type="duplicateValues" dxfId="749" priority="1809"/>
  </conditionalFormatting>
  <conditionalFormatting sqref="C34:C37">
    <cfRule type="duplicateValues" dxfId="748" priority="1808"/>
  </conditionalFormatting>
  <conditionalFormatting sqref="C39:C63">
    <cfRule type="duplicateValues" dxfId="747" priority="1807"/>
  </conditionalFormatting>
  <conditionalFormatting sqref="E10:E34 E53:E63 E36:E51">
    <cfRule type="duplicateValues" dxfId="746" priority="501"/>
  </conditionalFormatting>
  <conditionalFormatting sqref="I8:I61">
    <cfRule type="containsText" dxfId="745" priority="64" operator="containsText" text="Inactivo">
      <formula>NOT(ISERROR(SEARCH("Inactivo",I8)))</formula>
    </cfRule>
  </conditionalFormatting>
  <conditionalFormatting sqref="I10:I63">
    <cfRule type="containsText" dxfId="744" priority="1801" operator="containsText" text="Retirado">
      <formula>NOT(ISERROR(SEARCH("Retirado",I10)))</formula>
    </cfRule>
    <cfRule type="containsText" dxfId="743" priority="1802" operator="containsText" text="Activo">
      <formula>NOT(ISERROR(SEARCH("Activo",I10)))</formula>
    </cfRule>
  </conditionalFormatting>
  <conditionalFormatting sqref="J10 N12:N15 J12:J39 N17 N22:N23 N27:N28 N32 J42:J63 R42:R63 N45 N47:N49">
    <cfRule type="containsText" dxfId="742" priority="2771" operator="containsText" text="E">
      <formula>NOT(ISERROR(SEARCH("E",J10)))</formula>
    </cfRule>
    <cfRule type="containsText" dxfId="741" priority="2772" stopIfTrue="1" operator="containsText" text="P">
      <formula>NOT(ISERROR(SEARCH("P",J10)))</formula>
    </cfRule>
  </conditionalFormatting>
  <conditionalFormatting sqref="J64:J65 N64:N65 R64:R65 V64:V65 Z64:Z65 AD64:AD65 AH64:AH65 AL64:AL65 AP64:AP65 AT64:AT65 AX64:AX65 BB64:BB65 BF64:BF65 BJ64:BJ65 BN64:BN65 BR64:BR65">
    <cfRule type="cellIs" dxfId="740" priority="8251" operator="lessThan">
      <formula>0.49</formula>
    </cfRule>
    <cfRule type="cellIs" dxfId="739" priority="8252" operator="greaterThan">
      <formula>0.5</formula>
    </cfRule>
  </conditionalFormatting>
  <conditionalFormatting sqref="J66:J67 N66:N67 R66:R67 V66:V67 Z66:Z67 AD66:AD67 AH66:AH67 AL66:AL67 AP66:AP67 AT66:AT67 AX66:AX67 BB66:BB67 BF66:BF67 BJ66:BJ67 BN66:BN67 BR66:BR67">
    <cfRule type="cellIs" dxfId="738" priority="8255" operator="lessThan">
      <formula>0.8</formula>
    </cfRule>
    <cfRule type="cellIs" dxfId="737" priority="8248" stopIfTrue="1" operator="greaterThanOrEqual">
      <formula>0.8</formula>
    </cfRule>
  </conditionalFormatting>
  <conditionalFormatting sqref="J11:L11">
    <cfRule type="containsText" dxfId="736" priority="779" operator="containsText" text="E">
      <formula>NOT(ISERROR(SEARCH("E",J11)))</formula>
    </cfRule>
    <cfRule type="containsText" dxfId="735" priority="780" stopIfTrue="1" operator="containsText" text="P">
      <formula>NOT(ISERROR(SEARCH("P",J11)))</formula>
    </cfRule>
  </conditionalFormatting>
  <conditionalFormatting sqref="J40:L41">
    <cfRule type="containsText" dxfId="734" priority="762" stopIfTrue="1" operator="containsText" text="P">
      <formula>NOT(ISERROR(SEARCH("P",J40)))</formula>
    </cfRule>
    <cfRule type="containsText" dxfId="733" priority="761" operator="containsText" text="E">
      <formula>NOT(ISERROR(SEARCH("E",J40)))</formula>
    </cfRule>
  </conditionalFormatting>
  <conditionalFormatting sqref="K10 K12:K39">
    <cfRule type="containsText" dxfId="732" priority="1226" operator="containsText" text="PEND">
      <formula>NOT(ISERROR(SEARCH("PEND",K10)))</formula>
    </cfRule>
    <cfRule type="cellIs" dxfId="731" priority="1223" operator="between">
      <formula>1</formula>
      <formula>3</formula>
    </cfRule>
    <cfRule type="cellIs" dxfId="730" priority="1224" operator="greaterThanOrEqual">
      <formula>4</formula>
    </cfRule>
    <cfRule type="containsText" priority="1225" operator="containsText" text="N.A.">
      <formula>NOT(ISERROR(SEARCH("N.A.",K10)))</formula>
    </cfRule>
    <cfRule type="containsBlanks" dxfId="729" priority="1227">
      <formula>LEN(TRIM(K10))=0</formula>
    </cfRule>
  </conditionalFormatting>
  <conditionalFormatting sqref="K42:K63">
    <cfRule type="cellIs" dxfId="728" priority="405" operator="greaterThanOrEqual">
      <formula>4</formula>
    </cfRule>
    <cfRule type="cellIs" dxfId="727" priority="404" operator="between">
      <formula>1</formula>
      <formula>3</formula>
    </cfRule>
    <cfRule type="containsBlanks" dxfId="726" priority="408">
      <formula>LEN(TRIM(K42))=0</formula>
    </cfRule>
    <cfRule type="containsText" dxfId="725" priority="407" operator="containsText" text="PEND">
      <formula>NOT(ISERROR(SEARCH("PEND",K42)))</formula>
    </cfRule>
    <cfRule type="containsText" priority="406" operator="containsText" text="N.A.">
      <formula>NOT(ISERROR(SEARCH("N.A.",K42)))</formula>
    </cfRule>
  </conditionalFormatting>
  <conditionalFormatting sqref="L10:M10 AG10:AG46 M11 L12:M21">
    <cfRule type="containsText" dxfId="724" priority="3012" stopIfTrue="1" operator="containsText" text="NO">
      <formula>NOT(ISERROR(SEARCH("NO",L10)))</formula>
    </cfRule>
  </conditionalFormatting>
  <conditionalFormatting sqref="L25:M39 M40:M41 L42:M44">
    <cfRule type="containsText" dxfId="723" priority="1040" stopIfTrue="1" operator="containsText" text="NO">
      <formula>NOT(ISERROR(SEARCH("NO",L25)))</formula>
    </cfRule>
  </conditionalFormatting>
  <conditionalFormatting sqref="M22:M24 L24 AR24 AR26:AR34 AN31:AO34 AO35 AR36:AR53 AN36:AO63">
    <cfRule type="containsText" dxfId="722" priority="1956" stopIfTrue="1" operator="containsText" text="NO">
      <formula>NOT(ISERROR(SEARCH("NO",L22)))</formula>
    </cfRule>
  </conditionalFormatting>
  <conditionalFormatting sqref="N53:N54">
    <cfRule type="containsText" dxfId="721" priority="178" stopIfTrue="1" operator="containsText" text="P">
      <formula>NOT(ISERROR(SEARCH("P",N53)))</formula>
    </cfRule>
    <cfRule type="containsText" dxfId="720" priority="177" operator="containsText" text="E">
      <formula>NOT(ISERROR(SEARCH("E",N53)))</formula>
    </cfRule>
  </conditionalFormatting>
  <conditionalFormatting sqref="N56">
    <cfRule type="containsText" dxfId="719" priority="174" operator="containsText" text="E">
      <formula>NOT(ISERROR(SEARCH("E",N56)))</formula>
    </cfRule>
    <cfRule type="containsText" dxfId="718" priority="175" stopIfTrue="1" operator="containsText" text="P">
      <formula>NOT(ISERROR(SEARCH("P",N56)))</formula>
    </cfRule>
  </conditionalFormatting>
  <conditionalFormatting sqref="N59">
    <cfRule type="containsText" dxfId="717" priority="172" stopIfTrue="1" operator="containsText" text="P">
      <formula>NOT(ISERROR(SEARCH("P",N59)))</formula>
    </cfRule>
    <cfRule type="containsText" dxfId="716" priority="171" operator="containsText" text="E">
      <formula>NOT(ISERROR(SEARCH("E",N59)))</formula>
    </cfRule>
  </conditionalFormatting>
  <conditionalFormatting sqref="N62:N63">
    <cfRule type="containsText" dxfId="715" priority="7" operator="containsText" text="E">
      <formula>NOT(ISERROR(SEARCH("E",N62)))</formula>
    </cfRule>
    <cfRule type="containsText" dxfId="714" priority="8" stopIfTrue="1" operator="containsText" text="P">
      <formula>NOT(ISERROR(SEARCH("P",N62)))</formula>
    </cfRule>
  </conditionalFormatting>
  <conditionalFormatting sqref="N10:Q11 N16:Q16 N18:Q21 N55:Q55 N57:Q58 N60:Q61 Q62:Q63">
    <cfRule type="containsText" dxfId="713" priority="266" operator="containsText" text="E">
      <formula>NOT(ISERROR(SEARCH("E",N10)))</formula>
    </cfRule>
    <cfRule type="containsText" dxfId="712" priority="267" stopIfTrue="1" operator="containsText" text="P">
      <formula>NOT(ISERROR(SEARCH("P",N10)))</formula>
    </cfRule>
  </conditionalFormatting>
  <conditionalFormatting sqref="N24:Q26">
    <cfRule type="containsText" dxfId="711" priority="196" operator="containsText" text="E">
      <formula>NOT(ISERROR(SEARCH("E",N24)))</formula>
    </cfRule>
    <cfRule type="containsText" dxfId="710" priority="197" stopIfTrue="1" operator="containsText" text="P">
      <formula>NOT(ISERROR(SEARCH("P",N24)))</formula>
    </cfRule>
  </conditionalFormatting>
  <conditionalFormatting sqref="N29:Q31">
    <cfRule type="containsText" dxfId="709" priority="192" operator="containsText" text="E">
      <formula>NOT(ISERROR(SEARCH("E",N29)))</formula>
    </cfRule>
    <cfRule type="containsText" dxfId="708" priority="193" stopIfTrue="1" operator="containsText" text="P">
      <formula>NOT(ISERROR(SEARCH("P",N29)))</formula>
    </cfRule>
  </conditionalFormatting>
  <conditionalFormatting sqref="N33:Q44">
    <cfRule type="containsText" dxfId="707" priority="169" stopIfTrue="1" operator="containsText" text="P">
      <formula>NOT(ISERROR(SEARCH("P",N33)))</formula>
    </cfRule>
    <cfRule type="containsText" dxfId="706" priority="168" operator="containsText" text="E">
      <formula>NOT(ISERROR(SEARCH("E",N33)))</formula>
    </cfRule>
  </conditionalFormatting>
  <conditionalFormatting sqref="N46:Q46">
    <cfRule type="containsText" dxfId="705" priority="182" operator="containsText" text="E">
      <formula>NOT(ISERROR(SEARCH("E",N46)))</formula>
    </cfRule>
    <cfRule type="containsText" dxfId="704" priority="183" stopIfTrue="1" operator="containsText" text="P">
      <formula>NOT(ISERROR(SEARCH("P",N46)))</formula>
    </cfRule>
  </conditionalFormatting>
  <conditionalFormatting sqref="N50:Q52">
    <cfRule type="containsText" dxfId="703" priority="179" operator="containsText" text="E">
      <formula>NOT(ISERROR(SEARCH("E",N50)))</formula>
    </cfRule>
    <cfRule type="containsText" dxfId="702" priority="180" stopIfTrue="1" operator="containsText" text="P">
      <formula>NOT(ISERROR(SEARCH("P",N50)))</formula>
    </cfRule>
  </conditionalFormatting>
  <conditionalFormatting sqref="O62:O63">
    <cfRule type="containsBlanks" dxfId="701" priority="13">
      <formula>LEN(TRIM(O62))=0</formula>
    </cfRule>
    <cfRule type="cellIs" dxfId="700" priority="9" operator="between">
      <formula>1</formula>
      <formula>3</formula>
    </cfRule>
    <cfRule type="cellIs" dxfId="699" priority="10" operator="greaterThanOrEqual">
      <formula>4</formula>
    </cfRule>
    <cfRule type="containsText" priority="11" operator="containsText" text="N.A.">
      <formula>NOT(ISERROR(SEARCH("N.A.",O62)))</formula>
    </cfRule>
    <cfRule type="containsText" dxfId="698" priority="12" operator="containsText" text="PEND">
      <formula>NOT(ISERROR(SEARCH("PEND",O62)))</formula>
    </cfRule>
  </conditionalFormatting>
  <conditionalFormatting sqref="P12:P15">
    <cfRule type="containsText" dxfId="697" priority="3745" stopIfTrue="1" operator="containsText" text="NO">
      <formula>NOT(ISERROR(SEARCH("NO",P12)))</formula>
    </cfRule>
  </conditionalFormatting>
  <conditionalFormatting sqref="P17">
    <cfRule type="containsText" dxfId="696" priority="199" stopIfTrue="1" operator="containsText" text="NO">
      <formula>NOT(ISERROR(SEARCH("NO",P17)))</formula>
    </cfRule>
  </conditionalFormatting>
  <conditionalFormatting sqref="P22:P23">
    <cfRule type="containsText" dxfId="695" priority="198" stopIfTrue="1" operator="containsText" text="NO">
      <formula>NOT(ISERROR(SEARCH("NO",P22)))</formula>
    </cfRule>
  </conditionalFormatting>
  <conditionalFormatting sqref="P27:P28">
    <cfRule type="containsText" dxfId="694" priority="194" stopIfTrue="1" operator="containsText" text="NO">
      <formula>NOT(ISERROR(SEARCH("NO",P27)))</formula>
    </cfRule>
  </conditionalFormatting>
  <conditionalFormatting sqref="P32">
    <cfRule type="containsText" dxfId="693" priority="191" stopIfTrue="1" operator="containsText" text="NO">
      <formula>NOT(ISERROR(SEARCH("NO",P32)))</formula>
    </cfRule>
  </conditionalFormatting>
  <conditionalFormatting sqref="P45">
    <cfRule type="containsText" dxfId="692" priority="184" stopIfTrue="1" operator="containsText" text="NO">
      <formula>NOT(ISERROR(SEARCH("NO",P45)))</formula>
    </cfRule>
  </conditionalFormatting>
  <conditionalFormatting sqref="P47:P49">
    <cfRule type="containsText" dxfId="691" priority="181" stopIfTrue="1" operator="containsText" text="NO">
      <formula>NOT(ISERROR(SEARCH("NO",P47)))</formula>
    </cfRule>
  </conditionalFormatting>
  <conditionalFormatting sqref="P53:P54">
    <cfRule type="containsText" dxfId="690" priority="176" stopIfTrue="1" operator="containsText" text="NO">
      <formula>NOT(ISERROR(SEARCH("NO",P53)))</formula>
    </cfRule>
  </conditionalFormatting>
  <conditionalFormatting sqref="P56">
    <cfRule type="containsText" dxfId="689" priority="173" stopIfTrue="1" operator="containsText" text="NO">
      <formula>NOT(ISERROR(SEARCH("NO",P56)))</formula>
    </cfRule>
  </conditionalFormatting>
  <conditionalFormatting sqref="P59">
    <cfRule type="containsText" dxfId="688" priority="170" stopIfTrue="1" operator="containsText" text="NO">
      <formula>NOT(ISERROR(SEARCH("NO",P59)))</formula>
    </cfRule>
  </conditionalFormatting>
  <conditionalFormatting sqref="P62:P63">
    <cfRule type="containsText" dxfId="687" priority="6" stopIfTrue="1" operator="containsText" text="NO">
      <formula>NOT(ISERROR(SEARCH("NO",P62)))</formula>
    </cfRule>
  </conditionalFormatting>
  <conditionalFormatting sqref="Q15">
    <cfRule type="containsText" dxfId="686" priority="2776" stopIfTrue="1" operator="containsText" text="P">
      <formula>NOT(ISERROR(SEARCH("P",Q15)))</formula>
    </cfRule>
    <cfRule type="containsText" dxfId="685" priority="2775" operator="containsText" text="E">
      <formula>NOT(ISERROR(SEARCH("E",Q15)))</formula>
    </cfRule>
  </conditionalFormatting>
  <conditionalFormatting sqref="R10 R12:R39">
    <cfRule type="containsText" dxfId="684" priority="1098" stopIfTrue="1" operator="containsText" text="P">
      <formula>NOT(ISERROR(SEARCH("P",R10)))</formula>
    </cfRule>
    <cfRule type="containsText" dxfId="683" priority="1097" operator="containsText" text="E">
      <formula>NOT(ISERROR(SEARCH("E",R10)))</formula>
    </cfRule>
  </conditionalFormatting>
  <conditionalFormatting sqref="R11:T11">
    <cfRule type="containsText" dxfId="682" priority="777" operator="containsText" text="E">
      <formula>NOT(ISERROR(SEARCH("E",R11)))</formula>
    </cfRule>
    <cfRule type="containsText" dxfId="681" priority="778" stopIfTrue="1" operator="containsText" text="P">
      <formula>NOT(ISERROR(SEARCH("P",R11)))</formula>
    </cfRule>
  </conditionalFormatting>
  <conditionalFormatting sqref="R40:T41">
    <cfRule type="containsText" dxfId="680" priority="758" stopIfTrue="1" operator="containsText" text="P">
      <formula>NOT(ISERROR(SEARCH("P",R40)))</formula>
    </cfRule>
    <cfRule type="containsText" dxfId="679" priority="757" operator="containsText" text="E">
      <formula>NOT(ISERROR(SEARCH("E",R40)))</formula>
    </cfRule>
  </conditionalFormatting>
  <conditionalFormatting sqref="S10 S12:S39">
    <cfRule type="containsText" priority="1026" operator="containsText" text="N.A.">
      <formula>NOT(ISERROR(SEARCH("N.A.",S10)))</formula>
    </cfRule>
    <cfRule type="cellIs" dxfId="678" priority="1025" operator="greaterThanOrEqual">
      <formula>4</formula>
    </cfRule>
    <cfRule type="containsBlanks" dxfId="677" priority="1028">
      <formula>LEN(TRIM(S10))=0</formula>
    </cfRule>
    <cfRule type="containsText" dxfId="676" priority="1027" operator="containsText" text="PEND">
      <formula>NOT(ISERROR(SEARCH("PEND",S10)))</formula>
    </cfRule>
    <cfRule type="cellIs" dxfId="675" priority="1024" operator="between">
      <formula>1</formula>
      <formula>3</formula>
    </cfRule>
  </conditionalFormatting>
  <conditionalFormatting sqref="S42:S63">
    <cfRule type="containsText" dxfId="674" priority="316" operator="containsText" text="PEND">
      <formula>NOT(ISERROR(SEARCH("PEND",S42)))</formula>
    </cfRule>
    <cfRule type="cellIs" dxfId="673" priority="313" operator="between">
      <formula>1</formula>
      <formula>3</formula>
    </cfRule>
    <cfRule type="containsBlanks" dxfId="672" priority="317">
      <formula>LEN(TRIM(S42))=0</formula>
    </cfRule>
    <cfRule type="cellIs" dxfId="671" priority="314" operator="greaterThanOrEqual">
      <formula>4</formula>
    </cfRule>
    <cfRule type="containsText" priority="315" operator="containsText" text="N.A.">
      <formula>NOT(ISERROR(SEARCH("N.A.",S42)))</formula>
    </cfRule>
  </conditionalFormatting>
  <conditionalFormatting sqref="T44:T63">
    <cfRule type="containsText" dxfId="670" priority="312" stopIfTrue="1" operator="containsText" text="NO">
      <formula>NOT(ISERROR(SEARCH("NO",T44)))</formula>
    </cfRule>
  </conditionalFormatting>
  <conditionalFormatting sqref="T10:U10 U11 T12:U39 U40:U41 T42:U43">
    <cfRule type="containsText" dxfId="669" priority="1099" stopIfTrue="1" operator="containsText" text="NO">
      <formula>NOT(ISERROR(SEARCH("NO",T10)))</formula>
    </cfRule>
  </conditionalFormatting>
  <conditionalFormatting sqref="V12:V20">
    <cfRule type="containsText" dxfId="668" priority="803" stopIfTrue="1" operator="containsText" text="P">
      <formula>NOT(ISERROR(SEARCH("P",V12)))</formula>
    </cfRule>
  </conditionalFormatting>
  <conditionalFormatting sqref="V12:V24">
    <cfRule type="containsText" dxfId="667" priority="473" operator="containsText" text="E">
      <formula>NOT(ISERROR(SEARCH("E",V12)))</formula>
    </cfRule>
  </conditionalFormatting>
  <conditionalFormatting sqref="V24">
    <cfRule type="containsText" dxfId="666" priority="474" stopIfTrue="1" operator="containsText" text="P">
      <formula>NOT(ISERROR(SEARCH("P",V24)))</formula>
    </cfRule>
  </conditionalFormatting>
  <conditionalFormatting sqref="V28:V63">
    <cfRule type="containsText" dxfId="665" priority="310" operator="containsText" text="E">
      <formula>NOT(ISERROR(SEARCH("E",V28)))</formula>
    </cfRule>
    <cfRule type="containsText" dxfId="664" priority="311" stopIfTrue="1" operator="containsText" text="P">
      <formula>NOT(ISERROR(SEARCH("P",V28)))</formula>
    </cfRule>
  </conditionalFormatting>
  <conditionalFormatting sqref="V10:Y11">
    <cfRule type="containsText" dxfId="663" priority="817" operator="containsText" text="E">
      <formula>NOT(ISERROR(SEARCH("E",V10)))</formula>
    </cfRule>
    <cfRule type="containsText" dxfId="662" priority="818" stopIfTrue="1" operator="containsText" text="P">
      <formula>NOT(ISERROR(SEARCH("P",V10)))</formula>
    </cfRule>
  </conditionalFormatting>
  <conditionalFormatting sqref="V21:Y23">
    <cfRule type="containsText" dxfId="661" priority="842" stopIfTrue="1" operator="containsText" text="P">
      <formula>NOT(ISERROR(SEARCH("P",V21)))</formula>
    </cfRule>
  </conditionalFormatting>
  <conditionalFormatting sqref="V25:Y27">
    <cfRule type="containsText" dxfId="660" priority="802" operator="containsText" text="E">
      <formula>NOT(ISERROR(SEARCH("E",V25)))</formula>
    </cfRule>
  </conditionalFormatting>
  <conditionalFormatting sqref="W12:W14">
    <cfRule type="cellIs" dxfId="659" priority="798" operator="greaterThanOrEqual">
      <formula>4</formula>
    </cfRule>
    <cfRule type="containsText" priority="799" operator="containsText" text="N.A.">
      <formula>NOT(ISERROR(SEARCH("N.A.",W12)))</formula>
    </cfRule>
    <cfRule type="containsText" dxfId="658" priority="800" operator="containsText" text="PEND">
      <formula>NOT(ISERROR(SEARCH("PEND",W12)))</formula>
    </cfRule>
    <cfRule type="containsBlanks" dxfId="657" priority="801">
      <formula>LEN(TRIM(W12))=0</formula>
    </cfRule>
    <cfRule type="cellIs" dxfId="656" priority="797" operator="between">
      <formula>1</formula>
      <formula>3</formula>
    </cfRule>
  </conditionalFormatting>
  <conditionalFormatting sqref="W20">
    <cfRule type="containsText" priority="490" operator="containsText" text="N.A.">
      <formula>NOT(ISERROR(SEARCH("N.A.",W20)))</formula>
    </cfRule>
    <cfRule type="containsText" dxfId="655" priority="491" operator="containsText" text="PEND">
      <formula>NOT(ISERROR(SEARCH("PEND",W20)))</formula>
    </cfRule>
    <cfRule type="cellIs" dxfId="654" priority="488" operator="between">
      <formula>1</formula>
      <formula>3</formula>
    </cfRule>
    <cfRule type="cellIs" dxfId="653" priority="489" operator="greaterThanOrEqual">
      <formula>4</formula>
    </cfRule>
    <cfRule type="containsBlanks" dxfId="652" priority="492">
      <formula>LEN(TRIM(W20))=0</formula>
    </cfRule>
  </conditionalFormatting>
  <conditionalFormatting sqref="W24">
    <cfRule type="containsText" priority="477" operator="containsText" text="N.A.">
      <formula>NOT(ISERROR(SEARCH("N.A.",W24)))</formula>
    </cfRule>
    <cfRule type="containsBlanks" dxfId="651" priority="479">
      <formula>LEN(TRIM(W24))=0</formula>
    </cfRule>
    <cfRule type="containsText" dxfId="650" priority="478" operator="containsText" text="PEND">
      <formula>NOT(ISERROR(SEARCH("PEND",W24)))</formula>
    </cfRule>
    <cfRule type="cellIs" dxfId="649" priority="476" operator="greaterThanOrEqual">
      <formula>4</formula>
    </cfRule>
    <cfRule type="cellIs" dxfId="648" priority="475" operator="between">
      <formula>1</formula>
      <formula>3</formula>
    </cfRule>
  </conditionalFormatting>
  <conditionalFormatting sqref="W32:W33 W38 W41:W44 W47:W49">
    <cfRule type="containsBlanks" dxfId="647" priority="1207">
      <formula>LEN(TRIM(W32))=0</formula>
    </cfRule>
    <cfRule type="containsText" dxfId="646" priority="1206" operator="containsText" text="PEND">
      <formula>NOT(ISERROR(SEARCH("PEND",W32)))</formula>
    </cfRule>
    <cfRule type="containsText" priority="1205" operator="containsText" text="N.A.">
      <formula>NOT(ISERROR(SEARCH("N.A.",W32)))</formula>
    </cfRule>
    <cfRule type="cellIs" dxfId="645" priority="1204" operator="greaterThanOrEqual">
      <formula>4</formula>
    </cfRule>
    <cfRule type="cellIs" dxfId="644" priority="1203" operator="between">
      <formula>1</formula>
      <formula>3</formula>
    </cfRule>
  </conditionalFormatting>
  <conditionalFormatting sqref="W54:W59">
    <cfRule type="containsBlanks" dxfId="643" priority="309">
      <formula>LEN(TRIM(W54))=0</formula>
    </cfRule>
    <cfRule type="cellIs" dxfId="642" priority="306" operator="greaterThanOrEqual">
      <formula>4</formula>
    </cfRule>
    <cfRule type="cellIs" dxfId="641" priority="305" operator="between">
      <formula>1</formula>
      <formula>3</formula>
    </cfRule>
    <cfRule type="containsText" priority="307" operator="containsText" text="N.A.">
      <formula>NOT(ISERROR(SEARCH("N.A.",W54)))</formula>
    </cfRule>
    <cfRule type="containsText" dxfId="640" priority="308" operator="containsText" text="PEND">
      <formula>NOT(ISERROR(SEARCH("PEND",W54)))</formula>
    </cfRule>
  </conditionalFormatting>
  <conditionalFormatting sqref="W15:Y19">
    <cfRule type="containsText" dxfId="639" priority="795" operator="containsText" text="E">
      <formula>NOT(ISERROR(SEARCH("E",W15)))</formula>
    </cfRule>
    <cfRule type="containsText" dxfId="638" priority="796" stopIfTrue="1" operator="containsText" text="P">
      <formula>NOT(ISERROR(SEARCH("P",W15)))</formula>
    </cfRule>
  </conditionalFormatting>
  <conditionalFormatting sqref="W21:Y23">
    <cfRule type="containsText" dxfId="637" priority="841" operator="containsText" text="E">
      <formula>NOT(ISERROR(SEARCH("E",W21)))</formula>
    </cfRule>
  </conditionalFormatting>
  <conditionalFormatting sqref="W28:Y31 V25:Y27">
    <cfRule type="containsText" dxfId="636" priority="814" stopIfTrue="1" operator="containsText" text="P">
      <formula>NOT(ISERROR(SEARCH("P",V25)))</formula>
    </cfRule>
  </conditionalFormatting>
  <conditionalFormatting sqref="W28:Y31">
    <cfRule type="containsText" dxfId="635" priority="813" operator="containsText" text="E">
      <formula>NOT(ISERROR(SEARCH("E",W28)))</formula>
    </cfRule>
  </conditionalFormatting>
  <conditionalFormatting sqref="W34:Y37">
    <cfRule type="containsText" dxfId="634" priority="809" operator="containsText" text="E">
      <formula>NOT(ISERROR(SEARCH("E",W34)))</formula>
    </cfRule>
    <cfRule type="containsText" dxfId="633" priority="810" stopIfTrue="1" operator="containsText" text="P">
      <formula>NOT(ISERROR(SEARCH("P",W34)))</formula>
    </cfRule>
  </conditionalFormatting>
  <conditionalFormatting sqref="W39:Y40">
    <cfRule type="containsText" dxfId="632" priority="805" operator="containsText" text="E">
      <formula>NOT(ISERROR(SEARCH("E",W39)))</formula>
    </cfRule>
    <cfRule type="containsText" dxfId="631" priority="806" stopIfTrue="1" operator="containsText" text="P">
      <formula>NOT(ISERROR(SEARCH("P",W39)))</formula>
    </cfRule>
  </conditionalFormatting>
  <conditionalFormatting sqref="W45:Y46">
    <cfRule type="containsText" dxfId="630" priority="812" stopIfTrue="1" operator="containsText" text="P">
      <formula>NOT(ISERROR(SEARCH("P",W45)))</formula>
    </cfRule>
    <cfRule type="containsText" dxfId="629" priority="811" operator="containsText" text="E">
      <formula>NOT(ISERROR(SEARCH("E",W45)))</formula>
    </cfRule>
  </conditionalFormatting>
  <conditionalFormatting sqref="W50:Y53">
    <cfRule type="containsText" dxfId="628" priority="503" stopIfTrue="1" operator="containsText" text="P">
      <formula>NOT(ISERROR(SEARCH("P",W50)))</formula>
    </cfRule>
    <cfRule type="containsText" dxfId="627" priority="502" operator="containsText" text="E">
      <formula>NOT(ISERROR(SEARCH("E",W50)))</formula>
    </cfRule>
  </conditionalFormatting>
  <conditionalFormatting sqref="W60:Y63">
    <cfRule type="containsText" dxfId="626" priority="274" operator="containsText" text="E">
      <formula>NOT(ISERROR(SEARCH("E",W60)))</formula>
    </cfRule>
    <cfRule type="containsText" dxfId="625" priority="275" stopIfTrue="1" operator="containsText" text="P">
      <formula>NOT(ISERROR(SEARCH("P",W60)))</formula>
    </cfRule>
  </conditionalFormatting>
  <conditionalFormatting sqref="X32:X33 X38 X41:X42">
    <cfRule type="containsText" dxfId="624" priority="8946" stopIfTrue="1" operator="containsText" text="P">
      <formula>NOT(ISERROR(SEARCH("P",X32)))</formula>
    </cfRule>
  </conditionalFormatting>
  <conditionalFormatting sqref="X43:X44">
    <cfRule type="containsText" dxfId="623" priority="1209" stopIfTrue="1" operator="containsText" text="NO">
      <formula>NOT(ISERROR(SEARCH("NO",X43)))</formula>
    </cfRule>
  </conditionalFormatting>
  <conditionalFormatting sqref="X59">
    <cfRule type="containsText" dxfId="622" priority="304" stopIfTrue="1" operator="containsText" text="NO">
      <formula>NOT(ISERROR(SEARCH("NO",X59)))</formula>
    </cfRule>
  </conditionalFormatting>
  <conditionalFormatting sqref="X12:Y14">
    <cfRule type="containsText" dxfId="621" priority="804" stopIfTrue="1" operator="containsText" text="NO">
      <formula>NOT(ISERROR(SEARCH("NO",X12)))</formula>
    </cfRule>
  </conditionalFormatting>
  <conditionalFormatting sqref="X20:Y20">
    <cfRule type="containsText" dxfId="620" priority="493" stopIfTrue="1" operator="containsText" text="NO">
      <formula>NOT(ISERROR(SEARCH("NO",X20)))</formula>
    </cfRule>
  </conditionalFormatting>
  <conditionalFormatting sqref="X24:Y24">
    <cfRule type="containsText" dxfId="619" priority="485" stopIfTrue="1" operator="containsText" text="NO">
      <formula>NOT(ISERROR(SEARCH("NO",X24)))</formula>
    </cfRule>
  </conditionalFormatting>
  <conditionalFormatting sqref="X47:Y49">
    <cfRule type="containsText" dxfId="618" priority="1067" stopIfTrue="1" operator="containsText" text="NO">
      <formula>NOT(ISERROR(SEARCH("NO",X47)))</formula>
    </cfRule>
  </conditionalFormatting>
  <conditionalFormatting sqref="X54:Y58">
    <cfRule type="containsText" dxfId="617" priority="350" stopIfTrue="1" operator="containsText" text="NO">
      <formula>NOT(ISERROR(SEARCH("NO",X54)))</formula>
    </cfRule>
  </conditionalFormatting>
  <conditionalFormatting sqref="Y32:Y33 Y38 Y41:Y44">
    <cfRule type="containsText" dxfId="616" priority="1200" stopIfTrue="1" operator="containsText" text="NO">
      <formula>NOT(ISERROR(SEARCH("NO",Y32)))</formula>
    </cfRule>
  </conditionalFormatting>
  <conditionalFormatting sqref="Z10:Z44">
    <cfRule type="containsText" dxfId="615" priority="1015" stopIfTrue="1" operator="containsText" text="P">
      <formula>NOT(ISERROR(SEARCH("P",Z10)))</formula>
    </cfRule>
    <cfRule type="containsText" dxfId="614" priority="1014" operator="containsText" text="E">
      <formula>NOT(ISERROR(SEARCH("E",Z10)))</formula>
    </cfRule>
  </conditionalFormatting>
  <conditionalFormatting sqref="Z46">
    <cfRule type="containsText" dxfId="613" priority="770" operator="containsText" text="E">
      <formula>NOT(ISERROR(SEARCH("E",Z46)))</formula>
    </cfRule>
    <cfRule type="containsText" dxfId="612" priority="771" stopIfTrue="1" operator="containsText" text="P">
      <formula>NOT(ISERROR(SEARCH("P",Z46)))</formula>
    </cfRule>
  </conditionalFormatting>
  <conditionalFormatting sqref="Z45:AC45">
    <cfRule type="containsText" dxfId="611" priority="1091" stopIfTrue="1" operator="containsText" text="P">
      <formula>NOT(ISERROR(SEARCH("P",Z45)))</formula>
    </cfRule>
    <cfRule type="containsText" dxfId="610" priority="1090" operator="containsText" text="E">
      <formula>NOT(ISERROR(SEARCH("E",Z45)))</formula>
    </cfRule>
  </conditionalFormatting>
  <conditionalFormatting sqref="Z47:AH47 Z50:AH51 AJ51:AK51 AJ53:AJ54 Z56:AH56 AJ56 Z58:AH63 AJ58:AJ63">
    <cfRule type="containsText" dxfId="609" priority="533" stopIfTrue="1" operator="containsText" text="P">
      <formula>NOT(ISERROR(SEARCH("P",Z47)))</formula>
    </cfRule>
    <cfRule type="containsText" dxfId="608" priority="532" operator="containsText" text="E">
      <formula>NOT(ISERROR(SEARCH("E",Z47)))</formula>
    </cfRule>
  </conditionalFormatting>
  <conditionalFormatting sqref="AA10:AA44">
    <cfRule type="containsText" priority="1011" operator="containsText" text="N.A.">
      <formula>NOT(ISERROR(SEARCH("N.A.",AA10)))</formula>
    </cfRule>
    <cfRule type="cellIs" dxfId="607" priority="1009" operator="between">
      <formula>1</formula>
      <formula>3</formula>
    </cfRule>
    <cfRule type="cellIs" dxfId="606" priority="1010" operator="greaterThanOrEqual">
      <formula>4</formula>
    </cfRule>
    <cfRule type="containsText" dxfId="605" priority="1012" operator="containsText" text="PEND">
      <formula>NOT(ISERROR(SEARCH("PEND",AA10)))</formula>
    </cfRule>
    <cfRule type="containsBlanks" dxfId="604" priority="1013">
      <formula>LEN(TRIM(AA10))=0</formula>
    </cfRule>
  </conditionalFormatting>
  <conditionalFormatting sqref="AA46">
    <cfRule type="containsText" dxfId="603" priority="768" operator="containsText" text="PEND">
      <formula>NOT(ISERROR(SEARCH("PEND",AA46)))</formula>
    </cfRule>
    <cfRule type="containsBlanks" dxfId="602" priority="769">
      <formula>LEN(TRIM(AA46))=0</formula>
    </cfRule>
    <cfRule type="cellIs" dxfId="601" priority="765" operator="between">
      <formula>1</formula>
      <formula>3</formula>
    </cfRule>
    <cfRule type="cellIs" dxfId="600" priority="766" operator="greaterThanOrEqual">
      <formula>4</formula>
    </cfRule>
    <cfRule type="containsText" priority="767" operator="containsText" text="N.A.">
      <formula>NOT(ISERROR(SEARCH("N.A.",AA46)))</formula>
    </cfRule>
  </conditionalFormatting>
  <conditionalFormatting sqref="AB10:AC44">
    <cfRule type="containsText" dxfId="599" priority="1016" stopIfTrue="1" operator="containsText" text="NO">
      <formula>NOT(ISERROR(SEARCH("NO",AB10)))</formula>
    </cfRule>
  </conditionalFormatting>
  <conditionalFormatting sqref="AB46:AC46">
    <cfRule type="containsText" dxfId="598" priority="772" stopIfTrue="1" operator="containsText" text="NO">
      <formula>NOT(ISERROR(SEARCH("NO",AB46)))</formula>
    </cfRule>
  </conditionalFormatting>
  <conditionalFormatting sqref="AD10:AD46">
    <cfRule type="containsText" dxfId="597" priority="1000" stopIfTrue="1" operator="containsText" text="P">
      <formula>NOT(ISERROR(SEARCH("P",AD10)))</formula>
    </cfRule>
    <cfRule type="containsText" dxfId="596" priority="999" operator="containsText" text="E">
      <formula>NOT(ISERROR(SEARCH("E",AD10)))</formula>
    </cfRule>
  </conditionalFormatting>
  <conditionalFormatting sqref="AE10:AE46">
    <cfRule type="cellIs" dxfId="595" priority="994" operator="between">
      <formula>1</formula>
      <formula>3</formula>
    </cfRule>
    <cfRule type="containsText" priority="996" operator="containsText" text="N.A.">
      <formula>NOT(ISERROR(SEARCH("N.A.",AE10)))</formula>
    </cfRule>
    <cfRule type="cellIs" dxfId="594" priority="995" operator="greaterThanOrEqual">
      <formula>4</formula>
    </cfRule>
    <cfRule type="containsBlanks" dxfId="593" priority="998">
      <formula>LEN(TRIM(AE10))=0</formula>
    </cfRule>
    <cfRule type="containsText" dxfId="592" priority="997" operator="containsText" text="PEND">
      <formula>NOT(ISERROR(SEARCH("PEND",AE10)))</formula>
    </cfRule>
  </conditionalFormatting>
  <conditionalFormatting sqref="AF10:AF15">
    <cfRule type="containsText" dxfId="591" priority="450" stopIfTrue="1" operator="containsText" text="NO">
      <formula>NOT(ISERROR(SEARCH("NO",AF10)))</formula>
    </cfRule>
  </conditionalFormatting>
  <conditionalFormatting sqref="AF16:AF17 AF20">
    <cfRule type="containsText" dxfId="590" priority="3623" operator="containsText" text="E">
      <formula>NOT(ISERROR(SEARCH("E",AF16)))</formula>
    </cfRule>
    <cfRule type="containsText" dxfId="589" priority="3624" stopIfTrue="1" operator="containsText" text="P">
      <formula>NOT(ISERROR(SEARCH("P",AF16)))</formula>
    </cfRule>
  </conditionalFormatting>
  <conditionalFormatting sqref="AF18:AF19 AF21:AF22 AF24:AF46">
    <cfRule type="containsText" dxfId="588" priority="449" stopIfTrue="1" operator="containsText" text="NO">
      <formula>NOT(ISERROR(SEARCH("NO",AF18)))</formula>
    </cfRule>
  </conditionalFormatting>
  <conditionalFormatting sqref="AH10 AH15 AH18:AH19 AH21:AH22 AH24 AH26 AH33 AH39 AH42:AH46">
    <cfRule type="containsText" dxfId="587" priority="208" stopIfTrue="1" operator="containsText" text="P">
      <formula>NOT(ISERROR(SEARCH("P",AH10)))</formula>
    </cfRule>
    <cfRule type="containsText" dxfId="586" priority="207" operator="containsText" text="E">
      <formula>NOT(ISERROR(SEARCH("E",AH10)))</formula>
    </cfRule>
  </conditionalFormatting>
  <conditionalFormatting sqref="AH35:AH36">
    <cfRule type="containsText" dxfId="585" priority="60" operator="containsText" text="E">
      <formula>NOT(ISERROR(SEARCH("E",AH35)))</formula>
    </cfRule>
    <cfRule type="containsText" dxfId="584" priority="61" stopIfTrue="1" operator="containsText" text="P">
      <formula>NOT(ISERROR(SEARCH("P",AH35)))</formula>
    </cfRule>
  </conditionalFormatting>
  <conditionalFormatting sqref="AH11:AK14">
    <cfRule type="containsText" dxfId="583" priority="44" operator="containsText" text="E">
      <formula>NOT(ISERROR(SEARCH("E",AH11)))</formula>
    </cfRule>
    <cfRule type="containsText" dxfId="582" priority="45" stopIfTrue="1" operator="containsText" text="P">
      <formula>NOT(ISERROR(SEARCH("P",AH11)))</formula>
    </cfRule>
  </conditionalFormatting>
  <conditionalFormatting sqref="AH16:AK17 AH20:AK20 AH23:AK23 AH25:AK25 AH27:AK32 AH34:AK34 AH37:AK38 AH40:AK41 Z48:AK49 Z52:AK52 Z53:AH54 Z55:AK55 Z57:AK57">
    <cfRule type="containsText" dxfId="581" priority="143" stopIfTrue="1" operator="containsText" text="P">
      <formula>NOT(ISERROR(SEARCH("P",Z16)))</formula>
    </cfRule>
    <cfRule type="containsText" dxfId="580" priority="142" operator="containsText" text="E">
      <formula>NOT(ISERROR(SEARCH("E",Z16)))</formula>
    </cfRule>
  </conditionalFormatting>
  <conditionalFormatting sqref="AI10 AI15 AI18:AI19 AI21:AI22 AI24 AI26 AI33 AI36 AI39 AI42:AI47 AI50:AI51 AI53:AI54 AI56 AI58:AI63">
    <cfRule type="containsText" priority="204" operator="containsText" text="N.A.">
      <formula>NOT(ISERROR(SEARCH("N.A.",AI10)))</formula>
    </cfRule>
    <cfRule type="cellIs" dxfId="579" priority="202" operator="between">
      <formula>1</formula>
      <formula>3</formula>
    </cfRule>
    <cfRule type="cellIs" dxfId="578" priority="203" operator="greaterThanOrEqual">
      <formula>4</formula>
    </cfRule>
    <cfRule type="containsText" dxfId="577" priority="205" operator="containsText" text="PEND">
      <formula>NOT(ISERROR(SEARCH("PEND",AI10)))</formula>
    </cfRule>
    <cfRule type="containsBlanks" dxfId="576" priority="206">
      <formula>LEN(TRIM(AI10))=0</formula>
    </cfRule>
  </conditionalFormatting>
  <conditionalFormatting sqref="AI35:AK35">
    <cfRule type="containsText" dxfId="575" priority="58" operator="containsText" text="E">
      <formula>NOT(ISERROR(SEARCH("E",AI35)))</formula>
    </cfRule>
    <cfRule type="containsText" dxfId="574" priority="59" stopIfTrue="1" operator="containsText" text="P">
      <formula>NOT(ISERROR(SEARCH("P",AI35)))</formula>
    </cfRule>
  </conditionalFormatting>
  <conditionalFormatting sqref="AJ10 AJ15:AK15">
    <cfRule type="containsText" dxfId="573" priority="167" stopIfTrue="1" operator="containsText" text="NO">
      <formula>NOT(ISERROR(SEARCH("NO",AJ10)))</formula>
    </cfRule>
  </conditionalFormatting>
  <conditionalFormatting sqref="AJ18:AJ19 AJ21:AJ22 AJ24 AJ33 AJ36 AJ39 AJ42:AJ47">
    <cfRule type="containsText" dxfId="572" priority="200" stopIfTrue="1" operator="containsText" text="NO">
      <formula>NOT(ISERROR(SEARCH("NO",AJ18)))</formula>
    </cfRule>
  </conditionalFormatting>
  <conditionalFormatting sqref="AJ26:AK26">
    <cfRule type="containsText" dxfId="571" priority="29" stopIfTrue="1" operator="containsText" text="NO">
      <formula>NOT(ISERROR(SEARCH("NO",AJ26)))</formula>
    </cfRule>
  </conditionalFormatting>
  <conditionalFormatting sqref="AJ50:AK50">
    <cfRule type="containsText" dxfId="570" priority="5" stopIfTrue="1" operator="containsText" text="NO">
      <formula>NOT(ISERROR(SEARCH("NO",AJ50)))</formula>
    </cfRule>
  </conditionalFormatting>
  <conditionalFormatting sqref="AK19">
    <cfRule type="containsText" dxfId="569" priority="31" stopIfTrue="1" operator="containsText" text="NO">
      <formula>NOT(ISERROR(SEARCH("NO",AK19)))</formula>
    </cfRule>
  </conditionalFormatting>
  <conditionalFormatting sqref="AK21">
    <cfRule type="containsText" dxfId="568" priority="30" stopIfTrue="1" operator="containsText" text="NO">
      <formula>NOT(ISERROR(SEARCH("NO",AK21)))</formula>
    </cfRule>
  </conditionalFormatting>
  <conditionalFormatting sqref="AK44">
    <cfRule type="containsText" dxfId="567" priority="28" stopIfTrue="1" operator="containsText" text="NO">
      <formula>NOT(ISERROR(SEARCH("NO",AK44)))</formula>
    </cfRule>
  </conditionalFormatting>
  <conditionalFormatting sqref="AK53">
    <cfRule type="containsText" dxfId="566" priority="117" operator="containsText" text="E">
      <formula>NOT(ISERROR(SEARCH("E",AK53)))</formula>
    </cfRule>
    <cfRule type="containsText" dxfId="565" priority="118" stopIfTrue="1" operator="containsText" text="P">
      <formula>NOT(ISERROR(SEARCH("P",AK53)))</formula>
    </cfRule>
  </conditionalFormatting>
  <conditionalFormatting sqref="AK59:AK63">
    <cfRule type="containsText" dxfId="564" priority="22" stopIfTrue="1" operator="containsText" text="NO">
      <formula>NOT(ISERROR(SEARCH("NO",AK59)))</formula>
    </cfRule>
  </conditionalFormatting>
  <conditionalFormatting sqref="AL10:AL21 AN10:AN21">
    <cfRule type="containsText" dxfId="563" priority="2946" stopIfTrue="1" operator="containsText" text="P">
      <formula>NOT(ISERROR(SEARCH("P",AL10)))</formula>
    </cfRule>
    <cfRule type="containsText" dxfId="562" priority="2945" operator="containsText" text="E">
      <formula>NOT(ISERROR(SEARCH("E",AL10)))</formula>
    </cfRule>
  </conditionalFormatting>
  <conditionalFormatting sqref="AL24:AL63">
    <cfRule type="containsText" dxfId="561" priority="57" stopIfTrue="1" operator="containsText" text="P">
      <formula>NOT(ISERROR(SEARCH("P",AL24)))</formula>
    </cfRule>
    <cfRule type="containsText" dxfId="560" priority="56" operator="containsText" text="E">
      <formula>NOT(ISERROR(SEARCH("E",AL24)))</formula>
    </cfRule>
  </conditionalFormatting>
  <conditionalFormatting sqref="AM10:AM34 AM36:AM63">
    <cfRule type="containsBlanks" dxfId="559" priority="2096">
      <formula>LEN(TRIM(AM10))=0</formula>
    </cfRule>
    <cfRule type="containsText" dxfId="558" priority="2095" operator="containsText" text="PEND">
      <formula>NOT(ISERROR(SEARCH("PEND",AM10)))</formula>
    </cfRule>
    <cfRule type="containsText" priority="2094" operator="containsText" text="N.A.">
      <formula>NOT(ISERROR(SEARCH("N.A.",AM10)))</formula>
    </cfRule>
    <cfRule type="cellIs" dxfId="557" priority="2093" operator="greaterThanOrEqual">
      <formula>4</formula>
    </cfRule>
    <cfRule type="cellIs" dxfId="556" priority="2092" operator="between">
      <formula>1</formula>
      <formula>3</formula>
    </cfRule>
  </conditionalFormatting>
  <conditionalFormatting sqref="AM35:AN35">
    <cfRule type="containsText" dxfId="555" priority="55" stopIfTrue="1" operator="containsText" text="P">
      <formula>NOT(ISERROR(SEARCH("P",AM35)))</formula>
    </cfRule>
    <cfRule type="containsText" dxfId="554" priority="54" operator="containsText" text="E">
      <formula>NOT(ISERROR(SEARCH("E",AM35)))</formula>
    </cfRule>
  </conditionalFormatting>
  <conditionalFormatting sqref="AO10:AO30 AS10:AS53 AV11:AV12 AR14 AZ15 AN24 AN26:AN30 AV26:AV34 AV36:AV53 AZ38">
    <cfRule type="containsText" dxfId="553" priority="3963" stopIfTrue="1" operator="containsText" text="NO">
      <formula>NOT(ISERROR(SEARCH("NO",AN10)))</formula>
    </cfRule>
  </conditionalFormatting>
  <conditionalFormatting sqref="AP10:AP21">
    <cfRule type="containsText" dxfId="552" priority="2943" operator="containsText" text="E">
      <formula>NOT(ISERROR(SEARCH("E",AP10)))</formula>
    </cfRule>
    <cfRule type="containsText" dxfId="551" priority="2944" stopIfTrue="1" operator="containsText" text="P">
      <formula>NOT(ISERROR(SEARCH("P",AP10)))</formula>
    </cfRule>
  </conditionalFormatting>
  <conditionalFormatting sqref="AP24:AP53">
    <cfRule type="containsText" dxfId="550" priority="52" operator="containsText" text="E">
      <formula>NOT(ISERROR(SEARCH("E",AP24)))</formula>
    </cfRule>
    <cfRule type="containsText" dxfId="549" priority="53" stopIfTrue="1" operator="containsText" text="P">
      <formula>NOT(ISERROR(SEARCH("P",AP24)))</formula>
    </cfRule>
  </conditionalFormatting>
  <conditionalFormatting sqref="AQ10:AQ34 AU10:AU34 O12:O15 O17 O22:O23 O27:O28 O32 AQ36:AQ63 AU36:AU63 O45 O47:O49 O53:O54 O56 O59">
    <cfRule type="containsText" dxfId="548" priority="2782" operator="containsText" text="PEND">
      <formula>NOT(ISERROR(SEARCH("PEND",O10)))</formula>
    </cfRule>
    <cfRule type="cellIs" dxfId="547" priority="2780" operator="greaterThanOrEqual">
      <formula>4</formula>
    </cfRule>
    <cfRule type="cellIs" dxfId="546" priority="2779" operator="between">
      <formula>1</formula>
      <formula>3</formula>
    </cfRule>
    <cfRule type="containsText" priority="2781" operator="containsText" text="N.A.">
      <formula>NOT(ISERROR(SEARCH("N.A.",O10)))</formula>
    </cfRule>
    <cfRule type="containsBlanks" dxfId="545" priority="2783">
      <formula>LEN(TRIM(O10))=0</formula>
    </cfRule>
  </conditionalFormatting>
  <conditionalFormatting sqref="AQ35:AR35">
    <cfRule type="containsText" dxfId="544" priority="51" stopIfTrue="1" operator="containsText" text="P">
      <formula>NOT(ISERROR(SEARCH("P",AQ35)))</formula>
    </cfRule>
    <cfRule type="containsText" dxfId="543" priority="50" operator="containsText" text="E">
      <formula>NOT(ISERROR(SEARCH("E",AQ35)))</formula>
    </cfRule>
  </conditionalFormatting>
  <conditionalFormatting sqref="AR10 AR12">
    <cfRule type="containsText" dxfId="542" priority="8947" stopIfTrue="1" operator="containsText" text="NO">
      <formula>NOT(ISERROR(SEARCH("NO",AR10)))</formula>
    </cfRule>
  </conditionalFormatting>
  <conditionalFormatting sqref="AR11">
    <cfRule type="containsText" dxfId="541" priority="4260" stopIfTrue="1" operator="containsText" text="P">
      <formula>NOT(ISERROR(SEARCH("P",AR11)))</formula>
    </cfRule>
    <cfRule type="containsText" dxfId="540" priority="4259" operator="containsText" text="E">
      <formula>NOT(ISERROR(SEARCH("E",AR11)))</formula>
    </cfRule>
  </conditionalFormatting>
  <conditionalFormatting sqref="AR13">
    <cfRule type="containsText" dxfId="539" priority="2935" stopIfTrue="1" operator="containsText" text="P">
      <formula>NOT(ISERROR(SEARCH("P",AR13)))</formula>
    </cfRule>
    <cfRule type="containsText" dxfId="538" priority="2934" operator="containsText" text="E">
      <formula>NOT(ISERROR(SEARCH("E",AR13)))</formula>
    </cfRule>
  </conditionalFormatting>
  <conditionalFormatting sqref="AR15:AR21 AN25 AR25 X32:X33 X38 X41:X42">
    <cfRule type="containsText" dxfId="537" priority="4062" operator="containsText" text="E">
      <formula>NOT(ISERROR(SEARCH("E",X15)))</formula>
    </cfRule>
  </conditionalFormatting>
  <conditionalFormatting sqref="AR15:AR21 AN25 AR25">
    <cfRule type="containsText" dxfId="536" priority="4063" stopIfTrue="1" operator="containsText" text="P">
      <formula>NOT(ISERROR(SEARCH("P",AN15)))</formula>
    </cfRule>
  </conditionalFormatting>
  <conditionalFormatting sqref="AT10:AT21">
    <cfRule type="containsText" dxfId="535" priority="2932" operator="containsText" text="E">
      <formula>NOT(ISERROR(SEARCH("E",AT10)))</formula>
    </cfRule>
    <cfRule type="containsText" dxfId="534" priority="2933" stopIfTrue="1" operator="containsText" text="P">
      <formula>NOT(ISERROR(SEARCH("P",AT10)))</formula>
    </cfRule>
  </conditionalFormatting>
  <conditionalFormatting sqref="AT24:AT53">
    <cfRule type="containsText" dxfId="533" priority="49" stopIfTrue="1" operator="containsText" text="P">
      <formula>NOT(ISERROR(SEARCH("P",AT24)))</formula>
    </cfRule>
    <cfRule type="containsText" dxfId="532" priority="48" operator="containsText" text="E">
      <formula>NOT(ISERROR(SEARCH("E",AT24)))</formula>
    </cfRule>
  </conditionalFormatting>
  <conditionalFormatting sqref="AU35:AV35">
    <cfRule type="containsText" dxfId="531" priority="47" stopIfTrue="1" operator="containsText" text="P">
      <formula>NOT(ISERROR(SEARCH("P",AU35)))</formula>
    </cfRule>
    <cfRule type="containsText" dxfId="530" priority="46" operator="containsText" text="E">
      <formula>NOT(ISERROR(SEARCH("E",AU35)))</formula>
    </cfRule>
  </conditionalFormatting>
  <conditionalFormatting sqref="AV10">
    <cfRule type="containsText" dxfId="529" priority="4188" stopIfTrue="1" operator="containsText" text="P">
      <formula>NOT(ISERROR(SEARCH("P",AV10)))</formula>
    </cfRule>
    <cfRule type="containsText" dxfId="528" priority="4187" operator="containsText" text="E">
      <formula>NOT(ISERROR(SEARCH("E",AV10)))</formula>
    </cfRule>
  </conditionalFormatting>
  <conditionalFormatting sqref="AV13:AV21">
    <cfRule type="containsText" dxfId="527" priority="2926" stopIfTrue="1" operator="containsText" text="P">
      <formula>NOT(ISERROR(SEARCH("P",AV13)))</formula>
    </cfRule>
    <cfRule type="containsText" dxfId="526" priority="2925" operator="containsText" text="E">
      <formula>NOT(ISERROR(SEARCH("E",AV13)))</formula>
    </cfRule>
  </conditionalFormatting>
  <conditionalFormatting sqref="AV24">
    <cfRule type="containsText" dxfId="525" priority="4093" stopIfTrue="1" operator="containsText" text="NO">
      <formula>NOT(ISERROR(SEARCH("NO",AV24)))</formula>
    </cfRule>
  </conditionalFormatting>
  <conditionalFormatting sqref="AV25">
    <cfRule type="containsText" dxfId="524" priority="3914" stopIfTrue="1" operator="containsText" text="P">
      <formula>NOT(ISERROR(SEARCH("P",AV25)))</formula>
    </cfRule>
    <cfRule type="containsText" dxfId="523" priority="3913" operator="containsText" text="E">
      <formula>NOT(ISERROR(SEARCH("E",AV25)))</formula>
    </cfRule>
  </conditionalFormatting>
  <conditionalFormatting sqref="AW10:AW53">
    <cfRule type="containsText" dxfId="522" priority="1552" stopIfTrue="1" operator="containsText" text="NO">
      <formula>NOT(ISERROR(SEARCH("NO",AW10)))</formula>
    </cfRule>
  </conditionalFormatting>
  <conditionalFormatting sqref="AX10:AX14">
    <cfRule type="containsText" dxfId="521" priority="1926" operator="containsText" text="E">
      <formula>NOT(ISERROR(SEARCH("E",AX10)))</formula>
    </cfRule>
  </conditionalFormatting>
  <conditionalFormatting sqref="AX10:AX15">
    <cfRule type="containsText" dxfId="520" priority="1927" stopIfTrue="1" operator="containsText" text="P">
      <formula>NOT(ISERROR(SEARCH("P",AX10)))</formula>
    </cfRule>
  </conditionalFormatting>
  <conditionalFormatting sqref="AX15">
    <cfRule type="containsText" dxfId="519" priority="3743" operator="containsText" text="E">
      <formula>NOT(ISERROR(SEARCH("E",AX15)))</formula>
    </cfRule>
  </conditionalFormatting>
  <conditionalFormatting sqref="AX16:AX19">
    <cfRule type="containsText" dxfId="518" priority="1560" stopIfTrue="1" operator="containsText" text="P">
      <formula>NOT(ISERROR(SEARCH("P",AX16)))</formula>
    </cfRule>
    <cfRule type="containsText" dxfId="517" priority="1559" operator="containsText" text="E">
      <formula>NOT(ISERROR(SEARCH("E",AX16)))</formula>
    </cfRule>
  </conditionalFormatting>
  <conditionalFormatting sqref="AX24:AX29">
    <cfRule type="containsText" dxfId="516" priority="992" stopIfTrue="1" operator="containsText" text="P">
      <formula>NOT(ISERROR(SEARCH("P",AX24)))</formula>
    </cfRule>
    <cfRule type="containsText" dxfId="515" priority="991" operator="containsText" text="E">
      <formula>NOT(ISERROR(SEARCH("E",AX24)))</formula>
    </cfRule>
  </conditionalFormatting>
  <conditionalFormatting sqref="AX33:AX40">
    <cfRule type="containsText" dxfId="514" priority="976" stopIfTrue="1" operator="containsText" text="P">
      <formula>NOT(ISERROR(SEARCH("P",AX33)))</formula>
    </cfRule>
    <cfRule type="containsText" dxfId="513" priority="975" operator="containsText" text="E">
      <formula>NOT(ISERROR(SEARCH("E",AX33)))</formula>
    </cfRule>
  </conditionalFormatting>
  <conditionalFormatting sqref="AX42">
    <cfRule type="containsText" dxfId="512" priority="967" operator="containsText" text="E">
      <formula>NOT(ISERROR(SEARCH("E",AX42)))</formula>
    </cfRule>
    <cfRule type="containsText" dxfId="511" priority="968" stopIfTrue="1" operator="containsText" text="P">
      <formula>NOT(ISERROR(SEARCH("P",AX42)))</formula>
    </cfRule>
  </conditionalFormatting>
  <conditionalFormatting sqref="AX51">
    <cfRule type="containsText" dxfId="510" priority="524" operator="containsText" text="E">
      <formula>NOT(ISERROR(SEARCH("E",AX51)))</formula>
    </cfRule>
    <cfRule type="containsText" dxfId="509" priority="525" stopIfTrue="1" operator="containsText" text="P">
      <formula>NOT(ISERROR(SEARCH("P",AX51)))</formula>
    </cfRule>
  </conditionalFormatting>
  <conditionalFormatting sqref="AX57:AX58">
    <cfRule type="containsText" dxfId="508" priority="327" stopIfTrue="1" operator="containsText" text="P">
      <formula>NOT(ISERROR(SEARCH("P",AX57)))</formula>
    </cfRule>
    <cfRule type="containsText" dxfId="507" priority="326" operator="containsText" text="E">
      <formula>NOT(ISERROR(SEARCH("E",AX57)))</formula>
    </cfRule>
  </conditionalFormatting>
  <conditionalFormatting sqref="AX61">
    <cfRule type="containsText" dxfId="506" priority="272" operator="containsText" text="E">
      <formula>NOT(ISERROR(SEARCH("E",AX61)))</formula>
    </cfRule>
    <cfRule type="containsText" dxfId="505" priority="273" stopIfTrue="1" operator="containsText" text="P">
      <formula>NOT(ISERROR(SEARCH("P",AX61)))</formula>
    </cfRule>
  </conditionalFormatting>
  <conditionalFormatting sqref="AX20:AZ20">
    <cfRule type="containsText" dxfId="504" priority="756" stopIfTrue="1" operator="containsText" text="P">
      <formula>NOT(ISERROR(SEARCH("P",AX20)))</formula>
    </cfRule>
    <cfRule type="containsText" dxfId="503" priority="755" operator="containsText" text="E">
      <formula>NOT(ISERROR(SEARCH("E",AX20)))</formula>
    </cfRule>
  </conditionalFormatting>
  <conditionalFormatting sqref="AX43:AZ43">
    <cfRule type="containsText" dxfId="502" priority="920" operator="containsText" text="E">
      <formula>NOT(ISERROR(SEARCH("E",AX43)))</formula>
    </cfRule>
    <cfRule type="containsText" dxfId="501" priority="921" stopIfTrue="1" operator="containsText" text="P">
      <formula>NOT(ISERROR(SEARCH("P",AX43)))</formula>
    </cfRule>
  </conditionalFormatting>
  <conditionalFormatting sqref="AX21:BA23">
    <cfRule type="containsText" dxfId="500" priority="1542" stopIfTrue="1" operator="containsText" text="P">
      <formula>NOT(ISERROR(SEARCH("P",AX21)))</formula>
    </cfRule>
    <cfRule type="containsText" dxfId="499" priority="1541" operator="containsText" text="E">
      <formula>NOT(ISERROR(SEARCH("E",AX21)))</formula>
    </cfRule>
  </conditionalFormatting>
  <conditionalFormatting sqref="AX41:BA41">
    <cfRule type="containsText" dxfId="498" priority="1522" stopIfTrue="1" operator="containsText" text="P">
      <formula>NOT(ISERROR(SEARCH("P",AX41)))</formula>
    </cfRule>
    <cfRule type="containsText" dxfId="497" priority="1521" operator="containsText" text="E">
      <formula>NOT(ISERROR(SEARCH("E",AX41)))</formula>
    </cfRule>
  </conditionalFormatting>
  <conditionalFormatting sqref="AX31:BE32 AY39:BD39">
    <cfRule type="containsText" dxfId="496" priority="1445" stopIfTrue="1" operator="containsText" text="P">
      <formula>NOT(ISERROR(SEARCH("P",AX31)))</formula>
    </cfRule>
    <cfRule type="containsText" dxfId="495" priority="1444" operator="containsText" text="E">
      <formula>NOT(ISERROR(SEARCH("E",AX31)))</formula>
    </cfRule>
  </conditionalFormatting>
  <conditionalFormatting sqref="AX52:BE53">
    <cfRule type="containsText" dxfId="494" priority="113" operator="containsText" text="E">
      <formula>NOT(ISERROR(SEARCH("E",AX52)))</formula>
    </cfRule>
    <cfRule type="containsText" dxfId="493" priority="114" stopIfTrue="1" operator="containsText" text="P">
      <formula>NOT(ISERROR(SEARCH("P",AX52)))</formula>
    </cfRule>
  </conditionalFormatting>
  <conditionalFormatting sqref="AX50:BF50">
    <cfRule type="containsText" dxfId="492" priority="158" stopIfTrue="1" operator="containsText" text="P">
      <formula>NOT(ISERROR(SEARCH("P",AX50)))</formula>
    </cfRule>
    <cfRule type="containsText" dxfId="491" priority="157" operator="containsText" text="E">
      <formula>NOT(ISERROR(SEARCH("E",AX50)))</formula>
    </cfRule>
  </conditionalFormatting>
  <conditionalFormatting sqref="AX60:BF60">
    <cfRule type="containsText" dxfId="490" priority="80" stopIfTrue="1" operator="containsText" text="P">
      <formula>NOT(ISERROR(SEARCH("P",AX60)))</formula>
    </cfRule>
    <cfRule type="containsText" dxfId="489" priority="79" operator="containsText" text="E">
      <formula>NOT(ISERROR(SEARCH("E",AX60)))</formula>
    </cfRule>
  </conditionalFormatting>
  <conditionalFormatting sqref="AX30:BI30">
    <cfRule type="containsText" dxfId="488" priority="1127" operator="containsText" text="E">
      <formula>NOT(ISERROR(SEARCH("E",AX30)))</formula>
    </cfRule>
    <cfRule type="containsText" dxfId="487" priority="1128" stopIfTrue="1" operator="containsText" text="P">
      <formula>NOT(ISERROR(SEARCH("P",AX30)))</formula>
    </cfRule>
  </conditionalFormatting>
  <conditionalFormatting sqref="AX45:BI49">
    <cfRule type="containsText" dxfId="486" priority="1062" stopIfTrue="1" operator="containsText" text="P">
      <formula>NOT(ISERROR(SEARCH("P",AX45)))</formula>
    </cfRule>
    <cfRule type="containsText" dxfId="485" priority="1061" operator="containsText" text="E">
      <formula>NOT(ISERROR(SEARCH("E",AX45)))</formula>
    </cfRule>
  </conditionalFormatting>
  <conditionalFormatting sqref="AX54:BI56">
    <cfRule type="containsText" dxfId="484" priority="465" operator="containsText" text="E">
      <formula>NOT(ISERROR(SEARCH("E",AX54)))</formula>
    </cfRule>
    <cfRule type="containsText" dxfId="483" priority="466" stopIfTrue="1" operator="containsText" text="P">
      <formula>NOT(ISERROR(SEARCH("P",AX54)))</formula>
    </cfRule>
  </conditionalFormatting>
  <conditionalFormatting sqref="AX59:BI59">
    <cfRule type="containsText" dxfId="482" priority="300" operator="containsText" text="E">
      <formula>NOT(ISERROR(SEARCH("E",AX59)))</formula>
    </cfRule>
    <cfRule type="containsText" dxfId="481" priority="301" stopIfTrue="1" operator="containsText" text="P">
      <formula>NOT(ISERROR(SEARCH("P",AX59)))</formula>
    </cfRule>
  </conditionalFormatting>
  <conditionalFormatting sqref="AX62:BI63">
    <cfRule type="containsText" dxfId="480" priority="95" operator="containsText" text="E">
      <formula>NOT(ISERROR(SEARCH("E",AX62)))</formula>
    </cfRule>
    <cfRule type="containsText" dxfId="479" priority="96" stopIfTrue="1" operator="containsText" text="P">
      <formula>NOT(ISERROR(SEARCH("P",AX62)))</formula>
    </cfRule>
  </conditionalFormatting>
  <conditionalFormatting sqref="AY15:AY16">
    <cfRule type="containsText" dxfId="478" priority="1556" stopIfTrue="1" operator="containsText" text="P">
      <formula>NOT(ISERROR(SEARCH("P",AY15)))</formula>
    </cfRule>
    <cfRule type="containsText" dxfId="477" priority="1555" operator="containsText" text="E">
      <formula>NOT(ISERROR(SEARCH("E",AY15)))</formula>
    </cfRule>
  </conditionalFormatting>
  <conditionalFormatting sqref="AY18:AY19">
    <cfRule type="cellIs" dxfId="476" priority="1755" operator="between">
      <formula>1</formula>
      <formula>3</formula>
    </cfRule>
    <cfRule type="cellIs" dxfId="475" priority="1756" operator="greaterThanOrEqual">
      <formula>4</formula>
    </cfRule>
    <cfRule type="containsText" priority="1757" operator="containsText" text="N.A.">
      <formula>NOT(ISERROR(SEARCH("N.A.",AY18)))</formula>
    </cfRule>
    <cfRule type="containsText" dxfId="474" priority="1758" operator="containsText" text="PEND">
      <formula>NOT(ISERROR(SEARCH("PEND",AY18)))</formula>
    </cfRule>
    <cfRule type="containsBlanks" dxfId="473" priority="1759">
      <formula>LEN(TRIM(AY18))=0</formula>
    </cfRule>
  </conditionalFormatting>
  <conditionalFormatting sqref="AY24:AY27">
    <cfRule type="containsBlanks" dxfId="472" priority="990">
      <formula>LEN(TRIM(AY24))=0</formula>
    </cfRule>
    <cfRule type="containsText" dxfId="471" priority="989" operator="containsText" text="PEND">
      <formula>NOT(ISERROR(SEARCH("PEND",AY24)))</formula>
    </cfRule>
    <cfRule type="cellIs" dxfId="470" priority="986" operator="between">
      <formula>1</formula>
      <formula>3</formula>
    </cfRule>
    <cfRule type="containsText" priority="988" operator="containsText" text="N.A.">
      <formula>NOT(ISERROR(SEARCH("N.A.",AY24)))</formula>
    </cfRule>
    <cfRule type="cellIs" dxfId="469" priority="987" operator="greaterThanOrEqual">
      <formula>4</formula>
    </cfRule>
  </conditionalFormatting>
  <conditionalFormatting sqref="AY33:AY34">
    <cfRule type="cellIs" dxfId="468" priority="284" operator="between">
      <formula>1</formula>
      <formula>3</formula>
    </cfRule>
    <cfRule type="cellIs" dxfId="467" priority="285" operator="greaterThanOrEqual">
      <formula>4</formula>
    </cfRule>
    <cfRule type="containsText" priority="286" operator="containsText" text="N.A.">
      <formula>NOT(ISERROR(SEARCH("N.A.",AY33)))</formula>
    </cfRule>
    <cfRule type="containsText" dxfId="466" priority="287" operator="containsText" text="PEND">
      <formula>NOT(ISERROR(SEARCH("PEND",AY33)))</formula>
    </cfRule>
    <cfRule type="containsBlanks" dxfId="465" priority="288">
      <formula>LEN(TRIM(AY33))=0</formula>
    </cfRule>
  </conditionalFormatting>
  <conditionalFormatting sqref="AY36">
    <cfRule type="containsText" priority="149" operator="containsText" text="N.A.">
      <formula>NOT(ISERROR(SEARCH("N.A.",AY36)))</formula>
    </cfRule>
    <cfRule type="cellIs" dxfId="464" priority="147" operator="between">
      <formula>1</formula>
      <formula>3</formula>
    </cfRule>
    <cfRule type="containsText" dxfId="463" priority="150" operator="containsText" text="PEND">
      <formula>NOT(ISERROR(SEARCH("PEND",AY36)))</formula>
    </cfRule>
    <cfRule type="containsBlanks" dxfId="462" priority="151">
      <formula>LEN(TRIM(AY36))=0</formula>
    </cfRule>
    <cfRule type="cellIs" dxfId="461" priority="148" operator="greaterThanOrEqual">
      <formula>4</formula>
    </cfRule>
  </conditionalFormatting>
  <conditionalFormatting sqref="AY38">
    <cfRule type="cellIs" dxfId="460" priority="152" operator="between">
      <formula>1</formula>
      <formula>3</formula>
    </cfRule>
    <cfRule type="cellIs" dxfId="459" priority="153" operator="greaterThanOrEqual">
      <formula>4</formula>
    </cfRule>
    <cfRule type="containsBlanks" dxfId="458" priority="156">
      <formula>LEN(TRIM(AY38))=0</formula>
    </cfRule>
    <cfRule type="containsText" dxfId="457" priority="155" operator="containsText" text="PEND">
      <formula>NOT(ISERROR(SEARCH("PEND",AY38)))</formula>
    </cfRule>
    <cfRule type="containsText" priority="154" operator="containsText" text="N.A.">
      <formula>NOT(ISERROR(SEARCH("N.A.",AY38)))</formula>
    </cfRule>
  </conditionalFormatting>
  <conditionalFormatting sqref="AY40">
    <cfRule type="containsBlanks" dxfId="456" priority="974">
      <formula>LEN(TRIM(AY40))=0</formula>
    </cfRule>
    <cfRule type="containsText" dxfId="455" priority="973" operator="containsText" text="PEND">
      <formula>NOT(ISERROR(SEARCH("PEND",AY40)))</formula>
    </cfRule>
    <cfRule type="containsText" priority="972" operator="containsText" text="N.A.">
      <formula>NOT(ISERROR(SEARCH("N.A.",AY40)))</formula>
    </cfRule>
    <cfRule type="cellIs" dxfId="454" priority="970" operator="between">
      <formula>1</formula>
      <formula>3</formula>
    </cfRule>
    <cfRule type="cellIs" dxfId="453" priority="971" operator="greaterThanOrEqual">
      <formula>4</formula>
    </cfRule>
  </conditionalFormatting>
  <conditionalFormatting sqref="AY42">
    <cfRule type="containsText" priority="964" operator="containsText" text="N.A.">
      <formula>NOT(ISERROR(SEARCH("N.A.",AY42)))</formula>
    </cfRule>
    <cfRule type="containsText" dxfId="452" priority="965" operator="containsText" text="PEND">
      <formula>NOT(ISERROR(SEARCH("PEND",AY42)))</formula>
    </cfRule>
    <cfRule type="containsBlanks" dxfId="451" priority="966">
      <formula>LEN(TRIM(AY42))=0</formula>
    </cfRule>
    <cfRule type="cellIs" dxfId="450" priority="962" operator="between">
      <formula>1</formula>
      <formula>3</formula>
    </cfRule>
    <cfRule type="cellIs" dxfId="449" priority="963" operator="greaterThanOrEqual">
      <formula>4</formula>
    </cfRule>
  </conditionalFormatting>
  <conditionalFormatting sqref="AY51">
    <cfRule type="containsBlanks" dxfId="448" priority="530">
      <formula>LEN(TRIM(AY51))=0</formula>
    </cfRule>
    <cfRule type="containsText" dxfId="447" priority="529" operator="containsText" text="PEND">
      <formula>NOT(ISERROR(SEARCH("PEND",AY51)))</formula>
    </cfRule>
    <cfRule type="containsText" priority="528" operator="containsText" text="N.A.">
      <formula>NOT(ISERROR(SEARCH("N.A.",AY51)))</formula>
    </cfRule>
    <cfRule type="cellIs" dxfId="446" priority="526" operator="between">
      <formula>1</formula>
      <formula>3</formula>
    </cfRule>
    <cfRule type="cellIs" dxfId="445" priority="527" operator="greaterThanOrEqual">
      <formula>4</formula>
    </cfRule>
  </conditionalFormatting>
  <conditionalFormatting sqref="AY57:AY58">
    <cfRule type="containsBlanks" dxfId="444" priority="140">
      <formula>LEN(TRIM(AY57))=0</formula>
    </cfRule>
    <cfRule type="cellIs" dxfId="443" priority="136" operator="between">
      <formula>1</formula>
      <formula>3</formula>
    </cfRule>
    <cfRule type="containsText" dxfId="442" priority="139" operator="containsText" text="PEND">
      <formula>NOT(ISERROR(SEARCH("PEND",AY57)))</formula>
    </cfRule>
    <cfRule type="cellIs" dxfId="441" priority="137" operator="greaterThanOrEqual">
      <formula>4</formula>
    </cfRule>
    <cfRule type="containsText" priority="138" operator="containsText" text="N.A.">
      <formula>NOT(ISERROR(SEARCH("N.A.",AY57)))</formula>
    </cfRule>
  </conditionalFormatting>
  <conditionalFormatting sqref="AY61">
    <cfRule type="containsText" priority="262" operator="containsText" text="N.A.">
      <formula>NOT(ISERROR(SEARCH("N.A.",AY61)))</formula>
    </cfRule>
    <cfRule type="containsText" dxfId="440" priority="263" operator="containsText" text="PEND">
      <formula>NOT(ISERROR(SEARCH("PEND",AY61)))</formula>
    </cfRule>
    <cfRule type="containsBlanks" dxfId="439" priority="264">
      <formula>LEN(TRIM(AY61))=0</formula>
    </cfRule>
    <cfRule type="cellIs" dxfId="438" priority="260" operator="between">
      <formula>1</formula>
      <formula>3</formula>
    </cfRule>
    <cfRule type="cellIs" dxfId="437" priority="261" operator="greaterThanOrEqual">
      <formula>4</formula>
    </cfRule>
  </conditionalFormatting>
  <conditionalFormatting sqref="AY12:BA14">
    <cfRule type="containsText" dxfId="436" priority="1712" stopIfTrue="1" operator="containsText" text="P">
      <formula>NOT(ISERROR(SEARCH("P",AY12)))</formula>
    </cfRule>
  </conditionalFormatting>
  <conditionalFormatting sqref="AY17:BA17">
    <cfRule type="containsText" dxfId="435" priority="1703" operator="containsText" text="E">
      <formula>NOT(ISERROR(SEARCH("E",AY17)))</formula>
    </cfRule>
    <cfRule type="containsText" dxfId="434" priority="1704" stopIfTrue="1" operator="containsText" text="P">
      <formula>NOT(ISERROR(SEARCH("P",AY17)))</formula>
    </cfRule>
  </conditionalFormatting>
  <conditionalFormatting sqref="AY28:BA29">
    <cfRule type="containsText" dxfId="433" priority="1538" stopIfTrue="1" operator="containsText" text="P">
      <formula>NOT(ISERROR(SEARCH("P",AY28)))</formula>
    </cfRule>
    <cfRule type="containsText" dxfId="432" priority="1537" operator="containsText" text="E">
      <formula>NOT(ISERROR(SEARCH("E",AY28)))</formula>
    </cfRule>
  </conditionalFormatting>
  <conditionalFormatting sqref="AY37:BD37">
    <cfRule type="containsText" dxfId="431" priority="590" stopIfTrue="1" operator="containsText" text="P">
      <formula>NOT(ISERROR(SEARCH("P",AY37)))</formula>
    </cfRule>
    <cfRule type="containsText" dxfId="430" priority="589" operator="containsText" text="E">
      <formula>NOT(ISERROR(SEARCH("E",AY37)))</formula>
    </cfRule>
  </conditionalFormatting>
  <conditionalFormatting sqref="AY10:BE11">
    <cfRule type="containsText" dxfId="429" priority="1498" stopIfTrue="1" operator="containsText" text="P">
      <formula>NOT(ISERROR(SEARCH("P",AY10)))</formula>
    </cfRule>
  </conditionalFormatting>
  <conditionalFormatting sqref="AY10:BF10">
    <cfRule type="containsText" dxfId="428" priority="917" operator="containsText" text="E">
      <formula>NOT(ISERROR(SEARCH("E",AY10)))</formula>
    </cfRule>
  </conditionalFormatting>
  <conditionalFormatting sqref="AY11:BH11">
    <cfRule type="containsText" dxfId="427" priority="775" operator="containsText" text="E">
      <formula>NOT(ISERROR(SEARCH("E",AY11)))</formula>
    </cfRule>
  </conditionalFormatting>
  <conditionalFormatting sqref="AY35:BI35">
    <cfRule type="containsText" dxfId="426" priority="277" stopIfTrue="1" operator="containsText" text="P">
      <formula>NOT(ISERROR(SEARCH("P",AY35)))</formula>
    </cfRule>
    <cfRule type="containsText" dxfId="425" priority="276" operator="containsText" text="E">
      <formula>NOT(ISERROR(SEARCH("E",AY35)))</formula>
    </cfRule>
  </conditionalFormatting>
  <conditionalFormatting sqref="AY12:BJ14">
    <cfRule type="containsText" dxfId="424" priority="644" operator="containsText" text="E">
      <formula>NOT(ISERROR(SEARCH("E",AY12)))</formula>
    </cfRule>
  </conditionalFormatting>
  <conditionalFormatting sqref="AZ18:AZ19">
    <cfRule type="containsText" dxfId="423" priority="3036" operator="containsText" text="E">
      <formula>NOT(ISERROR(SEARCH("E",AZ18)))</formula>
    </cfRule>
    <cfRule type="containsText" dxfId="422" priority="3037" stopIfTrue="1" operator="containsText" text="P">
      <formula>NOT(ISERROR(SEARCH("P",AZ18)))</formula>
    </cfRule>
  </conditionalFormatting>
  <conditionalFormatting sqref="AZ24:AZ25">
    <cfRule type="containsText" dxfId="421" priority="993" stopIfTrue="1" operator="containsText" text="NO">
      <formula>NOT(ISERROR(SEARCH("NO",AZ24)))</formula>
    </cfRule>
  </conditionalFormatting>
  <conditionalFormatting sqref="AZ26">
    <cfRule type="containsText" dxfId="420" priority="1754" stopIfTrue="1" operator="containsText" text="P">
      <formula>NOT(ISERROR(SEARCH("P",AZ26)))</formula>
    </cfRule>
    <cfRule type="containsText" dxfId="419" priority="1753" operator="containsText" text="E">
      <formula>NOT(ISERROR(SEARCH("E",AZ26)))</formula>
    </cfRule>
  </conditionalFormatting>
  <conditionalFormatting sqref="AZ27">
    <cfRule type="containsText" dxfId="418" priority="283" stopIfTrue="1" operator="containsText" text="NO">
      <formula>NOT(ISERROR(SEARCH("NO",AZ27)))</formula>
    </cfRule>
  </conditionalFormatting>
  <conditionalFormatting sqref="AZ33:AZ34">
    <cfRule type="containsText" dxfId="417" priority="985" stopIfTrue="1" operator="containsText" text="NO">
      <formula>NOT(ISERROR(SEARCH("NO",AZ33)))</formula>
    </cfRule>
  </conditionalFormatting>
  <conditionalFormatting sqref="AZ36">
    <cfRule type="containsText" dxfId="416" priority="146" stopIfTrue="1" operator="containsText" text="NO">
      <formula>NOT(ISERROR(SEARCH("NO",AZ36)))</formula>
    </cfRule>
  </conditionalFormatting>
  <conditionalFormatting sqref="AZ40">
    <cfRule type="containsText" dxfId="415" priority="977" stopIfTrue="1" operator="containsText" text="NO">
      <formula>NOT(ISERROR(SEARCH("NO",AZ40)))</formula>
    </cfRule>
  </conditionalFormatting>
  <conditionalFormatting sqref="AZ42">
    <cfRule type="containsText" dxfId="414" priority="282" stopIfTrue="1" operator="containsText" text="NO">
      <formula>NOT(ISERROR(SEARCH("NO",AZ42)))</formula>
    </cfRule>
  </conditionalFormatting>
  <conditionalFormatting sqref="AZ51">
    <cfRule type="containsText" dxfId="413" priority="531" stopIfTrue="1" operator="containsText" text="NO">
      <formula>NOT(ISERROR(SEARCH("NO",AZ51)))</formula>
    </cfRule>
  </conditionalFormatting>
  <conditionalFormatting sqref="AZ57:AZ58">
    <cfRule type="containsText" dxfId="412" priority="333" stopIfTrue="1" operator="containsText" text="NO">
      <formula>NOT(ISERROR(SEARCH("NO",AZ57)))</formula>
    </cfRule>
  </conditionalFormatting>
  <conditionalFormatting sqref="AZ61">
    <cfRule type="containsText" dxfId="411" priority="265" stopIfTrue="1" operator="containsText" text="NO">
      <formula>NOT(ISERROR(SEARCH("NO",AZ61)))</formula>
    </cfRule>
  </conditionalFormatting>
  <conditionalFormatting sqref="AZ16:BA16">
    <cfRule type="containsText" dxfId="410" priority="1558" stopIfTrue="1" operator="containsText" text="P">
      <formula>NOT(ISERROR(SEARCH("P",AZ16)))</formula>
    </cfRule>
    <cfRule type="containsText" dxfId="409" priority="1557" operator="containsText" text="E">
      <formula>NOT(ISERROR(SEARCH("E",AZ16)))</formula>
    </cfRule>
  </conditionalFormatting>
  <conditionalFormatting sqref="BA15 BE15">
    <cfRule type="containsText" dxfId="408" priority="3143" stopIfTrue="1" operator="containsText" text="P">
      <formula>NOT(ISERROR(SEARCH("P",BA15)))</formula>
    </cfRule>
  </conditionalFormatting>
  <conditionalFormatting sqref="BA24:BA25">
    <cfRule type="containsText" dxfId="407" priority="1543" operator="containsText" text="E">
      <formula>NOT(ISERROR(SEARCH("E",BA24)))</formula>
    </cfRule>
    <cfRule type="containsText" dxfId="406" priority="1544" stopIfTrue="1" operator="containsText" text="P">
      <formula>NOT(ISERROR(SEARCH("P",BA24)))</formula>
    </cfRule>
  </conditionalFormatting>
  <conditionalFormatting sqref="BA27">
    <cfRule type="containsText" dxfId="405" priority="294" operator="containsText" text="E">
      <formula>NOT(ISERROR(SEARCH("E",BA27)))</formula>
    </cfRule>
    <cfRule type="containsText" dxfId="404" priority="295" stopIfTrue="1" operator="containsText" text="P">
      <formula>NOT(ISERROR(SEARCH("P",BA27)))</formula>
    </cfRule>
  </conditionalFormatting>
  <conditionalFormatting sqref="BA42:BA43">
    <cfRule type="containsText" dxfId="403" priority="1163" stopIfTrue="1" operator="containsText" text="P">
      <formula>NOT(ISERROR(SEARCH("P",BA42)))</formula>
    </cfRule>
    <cfRule type="containsText" dxfId="402" priority="1162" operator="containsText" text="E">
      <formula>NOT(ISERROR(SEARCH("E",BA42)))</formula>
    </cfRule>
  </conditionalFormatting>
  <conditionalFormatting sqref="BA33:BB34">
    <cfRule type="containsText" dxfId="401" priority="319" stopIfTrue="1" operator="containsText" text="P">
      <formula>NOT(ISERROR(SEARCH("P",BA33)))</formula>
    </cfRule>
    <cfRule type="containsText" dxfId="400" priority="318" operator="containsText" text="E">
      <formula>NOT(ISERROR(SEARCH("E",BA33)))</formula>
    </cfRule>
  </conditionalFormatting>
  <conditionalFormatting sqref="BA36:BB36">
    <cfRule type="containsText" dxfId="399" priority="144" operator="containsText" text="E">
      <formula>NOT(ISERROR(SEARCH("E",BA36)))</formula>
    </cfRule>
    <cfRule type="containsText" dxfId="398" priority="145" stopIfTrue="1" operator="containsText" text="P">
      <formula>NOT(ISERROR(SEARCH("P",BA36)))</formula>
    </cfRule>
  </conditionalFormatting>
  <conditionalFormatting sqref="BA40:BB40">
    <cfRule type="containsText" dxfId="397" priority="936" stopIfTrue="1" operator="containsText" text="P">
      <formula>NOT(ISERROR(SEARCH("P",BA40)))</formula>
    </cfRule>
    <cfRule type="containsText" dxfId="396" priority="935" operator="containsText" text="E">
      <formula>NOT(ISERROR(SEARCH("E",BA40)))</formula>
    </cfRule>
  </conditionalFormatting>
  <conditionalFormatting sqref="BA57:BB57">
    <cfRule type="containsText" dxfId="395" priority="281" stopIfTrue="1" operator="containsText" text="P">
      <formula>NOT(ISERROR(SEARCH("P",BA57)))</formula>
    </cfRule>
    <cfRule type="containsText" dxfId="394" priority="280" operator="containsText" text="E">
      <formula>NOT(ISERROR(SEARCH("E",BA57)))</formula>
    </cfRule>
  </conditionalFormatting>
  <conditionalFormatting sqref="BA15:BC15">
    <cfRule type="containsText" dxfId="393" priority="1646" operator="containsText" text="E">
      <formula>NOT(ISERROR(SEARCH("E",BA15)))</formula>
    </cfRule>
  </conditionalFormatting>
  <conditionalFormatting sqref="BA61:BD61">
    <cfRule type="containsText" dxfId="392" priority="259" stopIfTrue="1" operator="containsText" text="P">
      <formula>NOT(ISERROR(SEARCH("P",BA61)))</formula>
    </cfRule>
    <cfRule type="containsText" dxfId="391" priority="258" operator="containsText" text="E">
      <formula>NOT(ISERROR(SEARCH("E",BA61)))</formula>
    </cfRule>
  </conditionalFormatting>
  <conditionalFormatting sqref="BB12:BB26">
    <cfRule type="containsText" dxfId="390" priority="952" stopIfTrue="1" operator="containsText" text="P">
      <formula>NOT(ISERROR(SEARCH("P",BB12)))</formula>
    </cfRule>
  </conditionalFormatting>
  <conditionalFormatting sqref="BB16:BB26">
    <cfRule type="containsText" dxfId="389" priority="951" operator="containsText" text="E">
      <formula>NOT(ISERROR(SEARCH("E",BB16)))</formula>
    </cfRule>
  </conditionalFormatting>
  <conditionalFormatting sqref="BB38">
    <cfRule type="containsText" dxfId="388" priority="944" stopIfTrue="1" operator="containsText" text="P">
      <formula>NOT(ISERROR(SEARCH("P",BB38)))</formula>
    </cfRule>
    <cfRule type="containsText" dxfId="387" priority="943" operator="containsText" text="E">
      <formula>NOT(ISERROR(SEARCH("E",BB38)))</formula>
    </cfRule>
  </conditionalFormatting>
  <conditionalFormatting sqref="BB43:BB44">
    <cfRule type="containsText" dxfId="386" priority="928" stopIfTrue="1" operator="containsText" text="P">
      <formula>NOT(ISERROR(SEARCH("P",BB43)))</formula>
    </cfRule>
    <cfRule type="containsText" dxfId="385" priority="927" operator="containsText" text="E">
      <formula>NOT(ISERROR(SEARCH("E",BB43)))</formula>
    </cfRule>
  </conditionalFormatting>
  <conditionalFormatting sqref="BB51">
    <cfRule type="containsText" dxfId="384" priority="516" operator="containsText" text="E">
      <formula>NOT(ISERROR(SEARCH("E",BB51)))</formula>
    </cfRule>
    <cfRule type="containsText" dxfId="383" priority="517" stopIfTrue="1" operator="containsText" text="P">
      <formula>NOT(ISERROR(SEARCH("P",BB51)))</formula>
    </cfRule>
  </conditionalFormatting>
  <conditionalFormatting sqref="BB58">
    <cfRule type="containsText" dxfId="382" priority="351" operator="containsText" text="E">
      <formula>NOT(ISERROR(SEARCH("E",BB58)))</formula>
    </cfRule>
    <cfRule type="containsText" dxfId="381" priority="352" stopIfTrue="1" operator="containsText" text="P">
      <formula>NOT(ISERROR(SEARCH("P",BB58)))</formula>
    </cfRule>
  </conditionalFormatting>
  <conditionalFormatting sqref="BB41:BE42 BE43 BD44">
    <cfRule type="containsText" dxfId="380" priority="1198" operator="containsText" text="E">
      <formula>NOT(ISERROR(SEARCH("E",BB41)))</formula>
    </cfRule>
    <cfRule type="containsText" dxfId="379" priority="1199" stopIfTrue="1" operator="containsText" text="P">
      <formula>NOT(ISERROR(SEARCH("P",BB41)))</formula>
    </cfRule>
  </conditionalFormatting>
  <conditionalFormatting sqref="BB27:BI29">
    <cfRule type="containsText" dxfId="378" priority="753" operator="containsText" text="E">
      <formula>NOT(ISERROR(SEARCH("E",BB27)))</formula>
    </cfRule>
    <cfRule type="containsText" dxfId="377" priority="754" stopIfTrue="1" operator="containsText" text="P">
      <formula>NOT(ISERROR(SEARCH("P",BB27)))</formula>
    </cfRule>
  </conditionalFormatting>
  <conditionalFormatting sqref="BC15">
    <cfRule type="containsText" dxfId="376" priority="1647" stopIfTrue="1" operator="containsText" text="P">
      <formula>NOT(ISERROR(SEARCH("P",BC15)))</formula>
    </cfRule>
  </conditionalFormatting>
  <conditionalFormatting sqref="BC18">
    <cfRule type="cellIs" dxfId="375" priority="2882" operator="greaterThanOrEqual">
      <formula>4</formula>
    </cfRule>
    <cfRule type="cellIs" dxfId="374" priority="2881" operator="between">
      <formula>1</formula>
      <formula>3</formula>
    </cfRule>
    <cfRule type="containsBlanks" dxfId="373" priority="2885">
      <formula>LEN(TRIM(BC18))=0</formula>
    </cfRule>
    <cfRule type="containsText" dxfId="372" priority="2884" operator="containsText" text="PEND">
      <formula>NOT(ISERROR(SEARCH("PEND",BC18)))</formula>
    </cfRule>
    <cfRule type="containsText" priority="2883" operator="containsText" text="N.A.">
      <formula>NOT(ISERROR(SEARCH("N.A.",BC18)))</formula>
    </cfRule>
  </conditionalFormatting>
  <conditionalFormatting sqref="BC24">
    <cfRule type="containsBlanks" dxfId="371" priority="950">
      <formula>LEN(TRIM(BC24))=0</formula>
    </cfRule>
    <cfRule type="containsText" dxfId="370" priority="949" operator="containsText" text="PEND">
      <formula>NOT(ISERROR(SEARCH("PEND",BC24)))</formula>
    </cfRule>
    <cfRule type="cellIs" dxfId="369" priority="946" operator="between">
      <formula>1</formula>
      <formula>3</formula>
    </cfRule>
    <cfRule type="cellIs" dxfId="368" priority="947" operator="greaterThanOrEqual">
      <formula>4</formula>
    </cfRule>
    <cfRule type="containsText" priority="948" operator="containsText" text="N.A.">
      <formula>NOT(ISERROR(SEARCH("N.A.",BC24)))</formula>
    </cfRule>
  </conditionalFormatting>
  <conditionalFormatting sqref="BC33:BC34 BC36">
    <cfRule type="containsText" dxfId="367" priority="323" operator="containsText" text="PEND">
      <formula>NOT(ISERROR(SEARCH("PEND",BC33)))</formula>
    </cfRule>
    <cfRule type="containsBlanks" dxfId="366" priority="324">
      <formula>LEN(TRIM(BC33))=0</formula>
    </cfRule>
    <cfRule type="cellIs" dxfId="365" priority="321" operator="greaterThanOrEqual">
      <formula>4</formula>
    </cfRule>
    <cfRule type="cellIs" dxfId="364" priority="320" operator="between">
      <formula>1</formula>
      <formula>3</formula>
    </cfRule>
    <cfRule type="containsText" priority="322" operator="containsText" text="N.A.">
      <formula>NOT(ISERROR(SEARCH("N.A.",BC33)))</formula>
    </cfRule>
  </conditionalFormatting>
  <conditionalFormatting sqref="BC38">
    <cfRule type="cellIs" dxfId="363" priority="938" operator="between">
      <formula>1</formula>
      <formula>3</formula>
    </cfRule>
    <cfRule type="cellIs" dxfId="362" priority="939" operator="greaterThanOrEqual">
      <formula>4</formula>
    </cfRule>
    <cfRule type="containsText" priority="940" operator="containsText" text="N.A.">
      <formula>NOT(ISERROR(SEARCH("N.A.",BC38)))</formula>
    </cfRule>
    <cfRule type="containsText" dxfId="361" priority="941" operator="containsText" text="PEND">
      <formula>NOT(ISERROR(SEARCH("PEND",BC38)))</formula>
    </cfRule>
    <cfRule type="containsBlanks" dxfId="360" priority="942">
      <formula>LEN(TRIM(BC38))=0</formula>
    </cfRule>
  </conditionalFormatting>
  <conditionalFormatting sqref="BC40">
    <cfRule type="containsBlanks" dxfId="359" priority="934">
      <formula>LEN(TRIM(BC40))=0</formula>
    </cfRule>
    <cfRule type="containsText" dxfId="358" priority="933" operator="containsText" text="PEND">
      <formula>NOT(ISERROR(SEARCH("PEND",BC40)))</formula>
    </cfRule>
    <cfRule type="containsText" priority="932" operator="containsText" text="N.A.">
      <formula>NOT(ISERROR(SEARCH("N.A.",BC40)))</formula>
    </cfRule>
    <cfRule type="cellIs" dxfId="357" priority="931" operator="greaterThanOrEqual">
      <formula>4</formula>
    </cfRule>
    <cfRule type="cellIs" dxfId="356" priority="930" operator="between">
      <formula>1</formula>
      <formula>3</formula>
    </cfRule>
  </conditionalFormatting>
  <conditionalFormatting sqref="BC43:BC44">
    <cfRule type="containsText" priority="924" operator="containsText" text="N.A.">
      <formula>NOT(ISERROR(SEARCH("N.A.",BC43)))</formula>
    </cfRule>
    <cfRule type="containsBlanks" dxfId="355" priority="926">
      <formula>LEN(TRIM(BC43))=0</formula>
    </cfRule>
    <cfRule type="containsText" dxfId="354" priority="925" operator="containsText" text="PEND">
      <formula>NOT(ISERROR(SEARCH("PEND",BC43)))</formula>
    </cfRule>
    <cfRule type="cellIs" dxfId="353" priority="923" operator="greaterThanOrEqual">
      <formula>4</formula>
    </cfRule>
    <cfRule type="cellIs" dxfId="352" priority="922" operator="between">
      <formula>1</formula>
      <formula>3</formula>
    </cfRule>
  </conditionalFormatting>
  <conditionalFormatting sqref="BC51">
    <cfRule type="cellIs" dxfId="351" priority="519" operator="greaterThanOrEqual">
      <formula>4</formula>
    </cfRule>
    <cfRule type="containsBlanks" dxfId="350" priority="522">
      <formula>LEN(TRIM(BC51))=0</formula>
    </cfRule>
    <cfRule type="containsText" priority="520" operator="containsText" text="N.A.">
      <formula>NOT(ISERROR(SEARCH("N.A.",BC51)))</formula>
    </cfRule>
    <cfRule type="cellIs" dxfId="349" priority="518" operator="between">
      <formula>1</formula>
      <formula>3</formula>
    </cfRule>
    <cfRule type="containsText" dxfId="348" priority="521" operator="containsText" text="PEND">
      <formula>NOT(ISERROR(SEARCH("PEND",BC51)))</formula>
    </cfRule>
  </conditionalFormatting>
  <conditionalFormatting sqref="BC57:BC58">
    <cfRule type="cellIs" dxfId="347" priority="131" operator="between">
      <formula>1</formula>
      <formula>3</formula>
    </cfRule>
    <cfRule type="containsText" priority="133" operator="containsText" text="N.A.">
      <formula>NOT(ISERROR(SEARCH("N.A.",BC57)))</formula>
    </cfRule>
    <cfRule type="cellIs" dxfId="346" priority="132" operator="greaterThanOrEqual">
      <formula>4</formula>
    </cfRule>
    <cfRule type="containsText" dxfId="345" priority="134" operator="containsText" text="PEND">
      <formula>NOT(ISERROR(SEARCH("PEND",BC57)))</formula>
    </cfRule>
    <cfRule type="containsBlanks" dxfId="344" priority="135">
      <formula>LEN(TRIM(BC57))=0</formula>
    </cfRule>
  </conditionalFormatting>
  <conditionalFormatting sqref="BC12:BE14">
    <cfRule type="containsText" dxfId="343" priority="1649" stopIfTrue="1" operator="containsText" text="P">
      <formula>NOT(ISERROR(SEARCH("P",BC12)))</formula>
    </cfRule>
  </conditionalFormatting>
  <conditionalFormatting sqref="BC19:BF19">
    <cfRule type="containsText" dxfId="342" priority="792" operator="containsText" text="E">
      <formula>NOT(ISERROR(SEARCH("E",BC19)))</formula>
    </cfRule>
    <cfRule type="containsText" dxfId="341" priority="793" stopIfTrue="1" operator="containsText" text="P">
      <formula>NOT(ISERROR(SEARCH("P",BC19)))</formula>
    </cfRule>
  </conditionalFormatting>
  <conditionalFormatting sqref="BC26:BF26">
    <cfRule type="containsText" dxfId="340" priority="898" operator="containsText" text="E">
      <formula>NOT(ISERROR(SEARCH("E",BC26)))</formula>
    </cfRule>
    <cfRule type="containsText" dxfId="339" priority="899" stopIfTrue="1" operator="containsText" text="P">
      <formula>NOT(ISERROR(SEARCH("P",BC26)))</formula>
    </cfRule>
  </conditionalFormatting>
  <conditionalFormatting sqref="BC20:BG21 BI20:BI21">
    <cfRule type="containsText" dxfId="338" priority="1410" stopIfTrue="1" operator="containsText" text="P">
      <formula>NOT(ISERROR(SEARCH("P",BC20)))</formula>
    </cfRule>
  </conditionalFormatting>
  <conditionalFormatting sqref="BC16:BH16">
    <cfRule type="containsText" dxfId="337" priority="1398" stopIfTrue="1" operator="containsText" text="P">
      <formula>NOT(ISERROR(SEARCH("P",BC16)))</formula>
    </cfRule>
    <cfRule type="containsText" dxfId="336" priority="1397" operator="containsText" text="E">
      <formula>NOT(ISERROR(SEARCH("E",BC16)))</formula>
    </cfRule>
  </conditionalFormatting>
  <conditionalFormatting sqref="BC17:BI17">
    <cfRule type="containsText" dxfId="335" priority="1598" stopIfTrue="1" operator="containsText" text="P">
      <formula>NOT(ISERROR(SEARCH("P",BC17)))</formula>
    </cfRule>
    <cfRule type="containsText" dxfId="334" priority="1583" operator="containsText" text="E">
      <formula>NOT(ISERROR(SEARCH("E",BC17)))</formula>
    </cfRule>
  </conditionalFormatting>
  <conditionalFormatting sqref="BC20:BI22 BF18:BI18">
    <cfRule type="containsText" dxfId="333" priority="910" operator="containsText" text="E">
      <formula>NOT(ISERROR(SEARCH("E",BC18)))</formula>
    </cfRule>
  </conditionalFormatting>
  <conditionalFormatting sqref="BC22:BI23">
    <cfRule type="containsText" dxfId="332" priority="1584" stopIfTrue="1" operator="containsText" text="P">
      <formula>NOT(ISERROR(SEARCH("P",BC22)))</formula>
    </cfRule>
  </conditionalFormatting>
  <conditionalFormatting sqref="BC25:BI25">
    <cfRule type="containsText" dxfId="331" priority="1417" operator="containsText" text="E">
      <formula>NOT(ISERROR(SEARCH("E",BC25)))</formula>
    </cfRule>
    <cfRule type="containsText" dxfId="330" priority="1418" stopIfTrue="1" operator="containsText" text="P">
      <formula>NOT(ISERROR(SEARCH("P",BC25)))</formula>
    </cfRule>
  </conditionalFormatting>
  <conditionalFormatting sqref="BC23:BL23">
    <cfRule type="containsText" dxfId="329" priority="741" operator="containsText" text="E">
      <formula>NOT(ISERROR(SEARCH("E",BC23)))</formula>
    </cfRule>
  </conditionalFormatting>
  <conditionalFormatting sqref="BD15">
    <cfRule type="containsText" dxfId="328" priority="1660" stopIfTrue="1" operator="containsText" text="NO">
      <formula>NOT(ISERROR(SEARCH("NO",BD15)))</formula>
    </cfRule>
  </conditionalFormatting>
  <conditionalFormatting sqref="BD18">
    <cfRule type="containsText" dxfId="327" priority="1625" operator="containsText" text="E">
      <formula>NOT(ISERROR(SEARCH("E",BD18)))</formula>
    </cfRule>
    <cfRule type="containsText" dxfId="326" priority="1626" stopIfTrue="1" operator="containsText" text="P">
      <formula>NOT(ISERROR(SEARCH("P",BD18)))</formula>
    </cfRule>
  </conditionalFormatting>
  <conditionalFormatting sqref="BD24">
    <cfRule type="containsText" dxfId="325" priority="953" stopIfTrue="1" operator="containsText" text="NO">
      <formula>NOT(ISERROR(SEARCH("NO",BD24)))</formula>
    </cfRule>
  </conditionalFormatting>
  <conditionalFormatting sqref="BD33 BD36 L45:L63">
    <cfRule type="containsText" dxfId="324" priority="403" stopIfTrue="1" operator="containsText" text="NO">
      <formula>NOT(ISERROR(SEARCH("NO",L33)))</formula>
    </cfRule>
  </conditionalFormatting>
  <conditionalFormatting sqref="BD38">
    <cfRule type="containsText" dxfId="323" priority="945" stopIfTrue="1" operator="containsText" text="NO">
      <formula>NOT(ISERROR(SEARCH("NO",BD38)))</formula>
    </cfRule>
  </conditionalFormatting>
  <conditionalFormatting sqref="BD40">
    <cfRule type="containsText" dxfId="322" priority="937" stopIfTrue="1" operator="containsText" text="NO">
      <formula>NOT(ISERROR(SEARCH("NO",BD40)))</formula>
    </cfRule>
  </conditionalFormatting>
  <conditionalFormatting sqref="BD43">
    <cfRule type="containsText" dxfId="321" priority="929" stopIfTrue="1" operator="containsText" text="NO">
      <formula>NOT(ISERROR(SEARCH("NO",BD43)))</formula>
    </cfRule>
  </conditionalFormatting>
  <conditionalFormatting sqref="BD51">
    <cfRule type="containsText" dxfId="320" priority="523" stopIfTrue="1" operator="containsText" text="NO">
      <formula>NOT(ISERROR(SEARCH("NO",BD51)))</formula>
    </cfRule>
  </conditionalFormatting>
  <conditionalFormatting sqref="BD57">
    <cfRule type="containsText" dxfId="319" priority="141" stopIfTrue="1" operator="containsText" text="NO">
      <formula>NOT(ISERROR(SEARCH("NO",BD57)))</formula>
    </cfRule>
  </conditionalFormatting>
  <conditionalFormatting sqref="BD58">
    <cfRule type="containsText" dxfId="318" priority="353" operator="containsText" text="E">
      <formula>NOT(ISERROR(SEARCH("E",BD58)))</formula>
    </cfRule>
    <cfRule type="containsText" dxfId="317" priority="354" stopIfTrue="1" operator="containsText" text="P">
      <formula>NOT(ISERROR(SEARCH("P",BD58)))</formula>
    </cfRule>
  </conditionalFormatting>
  <conditionalFormatting sqref="BE33:BE34 BE36">
    <cfRule type="containsText" dxfId="316" priority="1455" operator="containsText" text="E">
      <formula>NOT(ISERROR(SEARCH("E",BE33)))</formula>
    </cfRule>
    <cfRule type="containsText" dxfId="315" priority="1456" stopIfTrue="1" operator="containsText" text="P">
      <formula>NOT(ISERROR(SEARCH("P",BE33)))</formula>
    </cfRule>
  </conditionalFormatting>
  <conditionalFormatting sqref="BE38:BE40">
    <cfRule type="containsText" dxfId="314" priority="1448" operator="containsText" text="E">
      <formula>NOT(ISERROR(SEARCH("E",BE38)))</formula>
    </cfRule>
    <cfRule type="containsText" dxfId="313" priority="1449" stopIfTrue="1" operator="containsText" text="P">
      <formula>NOT(ISERROR(SEARCH("P",BE38)))</formula>
    </cfRule>
  </conditionalFormatting>
  <conditionalFormatting sqref="BE15:BF15">
    <cfRule type="containsText" dxfId="312" priority="1642" operator="containsText" text="E">
      <formula>NOT(ISERROR(SEARCH("E",BE15)))</formula>
    </cfRule>
  </conditionalFormatting>
  <conditionalFormatting sqref="BE24:BF24">
    <cfRule type="containsText" dxfId="311" priority="906" operator="containsText" text="E">
      <formula>NOT(ISERROR(SEARCH("E",BE24)))</formula>
    </cfRule>
    <cfRule type="containsText" dxfId="310" priority="907" stopIfTrue="1" operator="containsText" text="P">
      <formula>NOT(ISERROR(SEARCH("P",BE24)))</formula>
    </cfRule>
  </conditionalFormatting>
  <conditionalFormatting sqref="BE57:BF57">
    <cfRule type="containsText" dxfId="309" priority="128" stopIfTrue="1" operator="containsText" text="P">
      <formula>NOT(ISERROR(SEARCH("P",BE57)))</formula>
    </cfRule>
    <cfRule type="containsText" dxfId="308" priority="127" operator="containsText" text="E">
      <formula>NOT(ISERROR(SEARCH("E",BE57)))</formula>
    </cfRule>
  </conditionalFormatting>
  <conditionalFormatting sqref="BF10">
    <cfRule type="containsText" dxfId="307" priority="918" stopIfTrue="1" operator="containsText" text="P">
      <formula>NOT(ISERROR(SEARCH("P",BF10)))</formula>
    </cfRule>
  </conditionalFormatting>
  <conditionalFormatting sqref="BF12:BF15">
    <cfRule type="containsText" dxfId="306" priority="1640" stopIfTrue="1" operator="containsText" text="P">
      <formula>NOT(ISERROR(SEARCH("P",BF12)))</formula>
    </cfRule>
  </conditionalFormatting>
  <conditionalFormatting sqref="BF31:BF34 BF36:BF44">
    <cfRule type="containsText" dxfId="305" priority="875" stopIfTrue="1" operator="containsText" text="P">
      <formula>NOT(ISERROR(SEARCH("P",BF31)))</formula>
    </cfRule>
    <cfRule type="containsText" dxfId="304" priority="874" operator="containsText" text="E">
      <formula>NOT(ISERROR(SEARCH("E",BF31)))</formula>
    </cfRule>
  </conditionalFormatting>
  <conditionalFormatting sqref="BF58">
    <cfRule type="containsText" dxfId="303" priority="88" stopIfTrue="1" operator="containsText" text="P">
      <formula>NOT(ISERROR(SEARCH("P",BF58)))</formula>
    </cfRule>
    <cfRule type="containsText" dxfId="302" priority="87" operator="containsText" text="E">
      <formula>NOT(ISERROR(SEARCH("E",BF58)))</formula>
    </cfRule>
  </conditionalFormatting>
  <conditionalFormatting sqref="BF61">
    <cfRule type="containsText" dxfId="301" priority="72" stopIfTrue="1" operator="containsText" text="P">
      <formula>NOT(ISERROR(SEARCH("P",BF61)))</formula>
    </cfRule>
    <cfRule type="containsText" dxfId="300" priority="71" operator="containsText" text="E">
      <formula>NOT(ISERROR(SEARCH("E",BF61)))</formula>
    </cfRule>
  </conditionalFormatting>
  <conditionalFormatting sqref="BF11:BH11">
    <cfRule type="containsText" dxfId="299" priority="776" stopIfTrue="1" operator="containsText" text="P">
      <formula>NOT(ISERROR(SEARCH("P",BF11)))</formula>
    </cfRule>
  </conditionalFormatting>
  <conditionalFormatting sqref="BF18:BI18">
    <cfRule type="containsText" dxfId="298" priority="1404" stopIfTrue="1" operator="containsText" text="P">
      <formula>NOT(ISERROR(SEARCH("P",BF18)))</formula>
    </cfRule>
  </conditionalFormatting>
  <conditionalFormatting sqref="BF51:BI53">
    <cfRule type="containsText" dxfId="297" priority="111" operator="containsText" text="E">
      <formula>NOT(ISERROR(SEARCH("E",BF51)))</formula>
    </cfRule>
    <cfRule type="containsText" dxfId="296" priority="112" stopIfTrue="1" operator="containsText" text="P">
      <formula>NOT(ISERROR(SEARCH("P",BF51)))</formula>
    </cfRule>
  </conditionalFormatting>
  <conditionalFormatting sqref="BG10">
    <cfRule type="containsText" dxfId="295" priority="915" operator="containsText" text="PEND">
      <formula>NOT(ISERROR(SEARCH("PEND",BG10)))</formula>
    </cfRule>
    <cfRule type="cellIs" dxfId="294" priority="912" operator="between">
      <formula>1</formula>
      <formula>3</formula>
    </cfRule>
    <cfRule type="containsText" priority="914" operator="containsText" text="N.A.">
      <formula>NOT(ISERROR(SEARCH("N.A.",BG10)))</formula>
    </cfRule>
    <cfRule type="containsBlanks" dxfId="293" priority="916">
      <formula>LEN(TRIM(BG10))=0</formula>
    </cfRule>
    <cfRule type="cellIs" dxfId="292" priority="913" operator="greaterThanOrEqual">
      <formula>4</formula>
    </cfRule>
  </conditionalFormatting>
  <conditionalFormatting sqref="BG15">
    <cfRule type="containsText" dxfId="291" priority="1630" stopIfTrue="1" operator="containsText" text="P">
      <formula>NOT(ISERROR(SEARCH("P",BG15)))</formula>
    </cfRule>
    <cfRule type="containsText" dxfId="290" priority="1629" operator="containsText" text="E">
      <formula>NOT(ISERROR(SEARCH("E",BG15)))</formula>
    </cfRule>
  </conditionalFormatting>
  <conditionalFormatting sqref="BG19">
    <cfRule type="containsBlanks" dxfId="289" priority="791">
      <formula>LEN(TRIM(BG19))=0</formula>
    </cfRule>
    <cfRule type="containsText" dxfId="288" priority="790" operator="containsText" text="PEND">
      <formula>NOT(ISERROR(SEARCH("PEND",BG19)))</formula>
    </cfRule>
    <cfRule type="containsText" priority="789" operator="containsText" text="N.A.">
      <formula>NOT(ISERROR(SEARCH("N.A.",BG19)))</formula>
    </cfRule>
    <cfRule type="cellIs" dxfId="287" priority="788" operator="greaterThanOrEqual">
      <formula>4</formula>
    </cfRule>
    <cfRule type="cellIs" dxfId="286" priority="787" operator="between">
      <formula>1</formula>
      <formula>3</formula>
    </cfRule>
  </conditionalFormatting>
  <conditionalFormatting sqref="BG24">
    <cfRule type="containsText" dxfId="285" priority="904" operator="containsText" text="PEND">
      <formula>NOT(ISERROR(SEARCH("PEND",BG24)))</formula>
    </cfRule>
    <cfRule type="containsBlanks" dxfId="284" priority="905">
      <formula>LEN(TRIM(BG24))=0</formula>
    </cfRule>
    <cfRule type="containsText" priority="903" operator="containsText" text="N.A.">
      <formula>NOT(ISERROR(SEARCH("N.A.",BG24)))</formula>
    </cfRule>
    <cfRule type="cellIs" dxfId="283" priority="902" operator="greaterThanOrEqual">
      <formula>4</formula>
    </cfRule>
    <cfRule type="cellIs" dxfId="282" priority="901" operator="between">
      <formula>1</formula>
      <formula>3</formula>
    </cfRule>
  </conditionalFormatting>
  <conditionalFormatting sqref="BG26">
    <cfRule type="containsText" priority="895" operator="containsText" text="N.A.">
      <formula>NOT(ISERROR(SEARCH("N.A.",BG26)))</formula>
    </cfRule>
    <cfRule type="containsBlanks" dxfId="281" priority="897">
      <formula>LEN(TRIM(BG26))=0</formula>
    </cfRule>
    <cfRule type="containsText" dxfId="280" priority="896" operator="containsText" text="PEND">
      <formula>NOT(ISERROR(SEARCH("PEND",BG26)))</formula>
    </cfRule>
    <cfRule type="cellIs" dxfId="279" priority="894" operator="greaterThanOrEqual">
      <formula>4</formula>
    </cfRule>
    <cfRule type="cellIs" dxfId="278" priority="893" operator="between">
      <formula>1</formula>
      <formula>3</formula>
    </cfRule>
  </conditionalFormatting>
  <conditionalFormatting sqref="BG33:BG34">
    <cfRule type="containsText" dxfId="277" priority="888" operator="containsText" text="PEND">
      <formula>NOT(ISERROR(SEARCH("PEND",BG33)))</formula>
    </cfRule>
    <cfRule type="containsText" priority="887" operator="containsText" text="N.A.">
      <formula>NOT(ISERROR(SEARCH("N.A.",BG33)))</formula>
    </cfRule>
    <cfRule type="cellIs" dxfId="276" priority="886" operator="greaterThanOrEqual">
      <formula>4</formula>
    </cfRule>
    <cfRule type="cellIs" dxfId="275" priority="885" operator="between">
      <formula>1</formula>
      <formula>3</formula>
    </cfRule>
    <cfRule type="containsBlanks" dxfId="274" priority="889">
      <formula>LEN(TRIM(BG33))=0</formula>
    </cfRule>
  </conditionalFormatting>
  <conditionalFormatting sqref="BG38">
    <cfRule type="cellIs" dxfId="273" priority="878" operator="greaterThanOrEqual">
      <formula>4</formula>
    </cfRule>
    <cfRule type="containsText" priority="879" operator="containsText" text="N.A.">
      <formula>NOT(ISERROR(SEARCH("N.A.",BG38)))</formula>
    </cfRule>
    <cfRule type="containsText" dxfId="272" priority="880" operator="containsText" text="PEND">
      <formula>NOT(ISERROR(SEARCH("PEND",BG38)))</formula>
    </cfRule>
    <cfRule type="containsBlanks" dxfId="271" priority="881">
      <formula>LEN(TRIM(BG38))=0</formula>
    </cfRule>
    <cfRule type="cellIs" dxfId="270" priority="877" operator="between">
      <formula>1</formula>
      <formula>3</formula>
    </cfRule>
  </conditionalFormatting>
  <conditionalFormatting sqref="BG43:BG44">
    <cfRule type="containsText" dxfId="269" priority="872" operator="containsText" text="PEND">
      <formula>NOT(ISERROR(SEARCH("PEND",BG43)))</formula>
    </cfRule>
    <cfRule type="containsText" priority="871" operator="containsText" text="N.A.">
      <formula>NOT(ISERROR(SEARCH("N.A.",BG43)))</formula>
    </cfRule>
    <cfRule type="containsBlanks" dxfId="268" priority="873">
      <formula>LEN(TRIM(BG43))=0</formula>
    </cfRule>
    <cfRule type="cellIs" dxfId="267" priority="870" operator="greaterThanOrEqual">
      <formula>4</formula>
    </cfRule>
    <cfRule type="cellIs" dxfId="266" priority="869" operator="between">
      <formula>1</formula>
      <formula>3</formula>
    </cfRule>
  </conditionalFormatting>
  <conditionalFormatting sqref="BG50">
    <cfRule type="cellIs" dxfId="265" priority="162" operator="greaterThanOrEqual">
      <formula>4</formula>
    </cfRule>
    <cfRule type="containsBlanks" dxfId="264" priority="165">
      <formula>LEN(TRIM(BG50))=0</formula>
    </cfRule>
    <cfRule type="containsText" dxfId="263" priority="164" operator="containsText" text="PEND">
      <formula>NOT(ISERROR(SEARCH("PEND",BG50)))</formula>
    </cfRule>
    <cfRule type="containsText" priority="163" operator="containsText" text="N.A.">
      <formula>NOT(ISERROR(SEARCH("N.A.",BG50)))</formula>
    </cfRule>
    <cfRule type="cellIs" dxfId="262" priority="161" operator="between">
      <formula>1</formula>
      <formula>3</formula>
    </cfRule>
  </conditionalFormatting>
  <conditionalFormatting sqref="BG57:BG58">
    <cfRule type="containsBlanks" dxfId="261" priority="86">
      <formula>LEN(TRIM(BG57))=0</formula>
    </cfRule>
    <cfRule type="containsText" dxfId="260" priority="85" operator="containsText" text="PEND">
      <formula>NOT(ISERROR(SEARCH("PEND",BG57)))</formula>
    </cfRule>
    <cfRule type="containsText" priority="84" operator="containsText" text="N.A.">
      <formula>NOT(ISERROR(SEARCH("N.A.",BG57)))</formula>
    </cfRule>
    <cfRule type="cellIs" dxfId="259" priority="83" operator="greaterThanOrEqual">
      <formula>4</formula>
    </cfRule>
    <cfRule type="cellIs" dxfId="258" priority="82" operator="between">
      <formula>1</formula>
      <formula>3</formula>
    </cfRule>
  </conditionalFormatting>
  <conditionalFormatting sqref="BG60:BG61">
    <cfRule type="containsText" priority="68" operator="containsText" text="N.A.">
      <formula>NOT(ISERROR(SEARCH("N.A.",BG60)))</formula>
    </cfRule>
    <cfRule type="cellIs" dxfId="257" priority="67" operator="greaterThanOrEqual">
      <formula>4</formula>
    </cfRule>
    <cfRule type="cellIs" dxfId="256" priority="66" operator="between">
      <formula>1</formula>
      <formula>3</formula>
    </cfRule>
    <cfRule type="containsBlanks" dxfId="255" priority="70">
      <formula>LEN(TRIM(BG60))=0</formula>
    </cfRule>
    <cfRule type="containsText" dxfId="254" priority="69" operator="containsText" text="PEND">
      <formula>NOT(ISERROR(SEARCH("PEND",BG60)))</formula>
    </cfRule>
  </conditionalFormatting>
  <conditionalFormatting sqref="BG36:BH37">
    <cfRule type="containsText" dxfId="253" priority="1430" stopIfTrue="1" operator="containsText" text="P">
      <formula>NOT(ISERROR(SEARCH("P",BG36)))</formula>
    </cfRule>
    <cfRule type="containsText" dxfId="252" priority="1429" operator="containsText" text="E">
      <formula>NOT(ISERROR(SEARCH("E",BG36)))</formula>
    </cfRule>
  </conditionalFormatting>
  <conditionalFormatting sqref="BG39:BH40">
    <cfRule type="containsText" dxfId="251" priority="1436" operator="containsText" text="E">
      <formula>NOT(ISERROR(SEARCH("E",BG39)))</formula>
    </cfRule>
    <cfRule type="containsText" dxfId="250" priority="1437" stopIfTrue="1" operator="containsText" text="P">
      <formula>NOT(ISERROR(SEARCH("P",BG39)))</formula>
    </cfRule>
  </conditionalFormatting>
  <conditionalFormatting sqref="BG42:BH42">
    <cfRule type="containsText" dxfId="249" priority="782" stopIfTrue="1" operator="containsText" text="P">
      <formula>NOT(ISERROR(SEARCH("P",BG42)))</formula>
    </cfRule>
    <cfRule type="containsText" dxfId="248" priority="781" operator="containsText" text="E">
      <formula>NOT(ISERROR(SEARCH("E",BG42)))</formula>
    </cfRule>
  </conditionalFormatting>
  <conditionalFormatting sqref="BG31:BI32">
    <cfRule type="containsText" dxfId="247" priority="1423" operator="containsText" text="E">
      <formula>NOT(ISERROR(SEARCH("E",BG31)))</formula>
    </cfRule>
    <cfRule type="containsText" dxfId="246" priority="1424" stopIfTrue="1" operator="containsText" text="P">
      <formula>NOT(ISERROR(SEARCH("P",BG31)))</formula>
    </cfRule>
  </conditionalFormatting>
  <conditionalFormatting sqref="BG12:BJ14">
    <cfRule type="containsText" dxfId="245" priority="645" stopIfTrue="1" operator="containsText" text="P">
      <formula>NOT(ISERROR(SEARCH("P",BG12)))</formula>
    </cfRule>
  </conditionalFormatting>
  <conditionalFormatting sqref="BG41:BL41">
    <cfRule type="containsText" dxfId="244" priority="748" stopIfTrue="1" operator="containsText" text="P">
      <formula>NOT(ISERROR(SEARCH("P",BG41)))</formula>
    </cfRule>
    <cfRule type="containsText" dxfId="243" priority="747" operator="containsText" text="E">
      <formula>NOT(ISERROR(SEARCH("E",BG41)))</formula>
    </cfRule>
  </conditionalFormatting>
  <conditionalFormatting sqref="BH10">
    <cfRule type="containsText" dxfId="242" priority="919" stopIfTrue="1" operator="containsText" text="NO">
      <formula>NOT(ISERROR(SEARCH("NO",BH10)))</formula>
    </cfRule>
  </conditionalFormatting>
  <conditionalFormatting sqref="BH15">
    <cfRule type="containsText" dxfId="241" priority="1643" stopIfTrue="1" operator="containsText" text="NO">
      <formula>NOT(ISERROR(SEARCH("NO",BH15)))</formula>
    </cfRule>
  </conditionalFormatting>
  <conditionalFormatting sqref="BH19">
    <cfRule type="containsText" dxfId="240" priority="794" stopIfTrue="1" operator="containsText" text="NO">
      <formula>NOT(ISERROR(SEARCH("NO",BH19)))</formula>
    </cfRule>
  </conditionalFormatting>
  <conditionalFormatting sqref="BH20">
    <cfRule type="containsText" dxfId="239" priority="909" stopIfTrue="1" operator="containsText" text="P">
      <formula>NOT(ISERROR(SEARCH("P",BH20)))</formula>
    </cfRule>
  </conditionalFormatting>
  <conditionalFormatting sqref="BH21">
    <cfRule type="containsText" dxfId="238" priority="911" stopIfTrue="1" operator="containsText" text="P">
      <formula>NOT(ISERROR(SEARCH("P",BH21)))</formula>
    </cfRule>
  </conditionalFormatting>
  <conditionalFormatting sqref="BH24">
    <cfRule type="containsText" dxfId="237" priority="908" stopIfTrue="1" operator="containsText" text="NO">
      <formula>NOT(ISERROR(SEARCH("NO",BH24)))</formula>
    </cfRule>
  </conditionalFormatting>
  <conditionalFormatting sqref="BH26">
    <cfRule type="containsText" dxfId="236" priority="900" stopIfTrue="1" operator="containsText" text="NO">
      <formula>NOT(ISERROR(SEARCH("NO",BH26)))</formula>
    </cfRule>
  </conditionalFormatting>
  <conditionalFormatting sqref="BH33:BH34">
    <cfRule type="containsText" dxfId="235" priority="892" stopIfTrue="1" operator="containsText" text="NO">
      <formula>NOT(ISERROR(SEARCH("NO",BH33)))</formula>
    </cfRule>
  </conditionalFormatting>
  <conditionalFormatting sqref="BH38">
    <cfRule type="containsText" dxfId="234" priority="884" stopIfTrue="1" operator="containsText" text="NO">
      <formula>NOT(ISERROR(SEARCH("NO",BH38)))</formula>
    </cfRule>
  </conditionalFormatting>
  <conditionalFormatting sqref="BH43:BH44">
    <cfRule type="containsText" dxfId="233" priority="876" stopIfTrue="1" operator="containsText" text="NO">
      <formula>NOT(ISERROR(SEARCH("NO",BH43)))</formula>
    </cfRule>
  </conditionalFormatting>
  <conditionalFormatting sqref="BH50">
    <cfRule type="containsText" dxfId="232" priority="166" stopIfTrue="1" operator="containsText" text="NO">
      <formula>NOT(ISERROR(SEARCH("NO",BH50)))</formula>
    </cfRule>
  </conditionalFormatting>
  <conditionalFormatting sqref="BH57:BH58">
    <cfRule type="containsText" dxfId="231" priority="81" stopIfTrue="1" operator="containsText" text="NO">
      <formula>NOT(ISERROR(SEARCH("NO",BH57)))</formula>
    </cfRule>
  </conditionalFormatting>
  <conditionalFormatting sqref="BH60:BH61">
    <cfRule type="containsText" dxfId="230" priority="65" stopIfTrue="1" operator="containsText" text="NO">
      <formula>NOT(ISERROR(SEARCH("NO",BH60)))</formula>
    </cfRule>
  </conditionalFormatting>
  <conditionalFormatting sqref="BI15:BI16">
    <cfRule type="containsText" dxfId="229" priority="1399" operator="containsText" text="E">
      <formula>NOT(ISERROR(SEARCH("E",BI15)))</formula>
    </cfRule>
    <cfRule type="containsText" dxfId="228" priority="1400" stopIfTrue="1" operator="containsText" text="P">
      <formula>NOT(ISERROR(SEARCH("P",BI15)))</formula>
    </cfRule>
  </conditionalFormatting>
  <conditionalFormatting sqref="BI24">
    <cfRule type="containsText" dxfId="227" priority="1238" operator="containsText" text="E">
      <formula>NOT(ISERROR(SEARCH("E",BI24)))</formula>
    </cfRule>
    <cfRule type="containsText" dxfId="226" priority="1239" stopIfTrue="1" operator="containsText" text="P">
      <formula>NOT(ISERROR(SEARCH("P",BI24)))</formula>
    </cfRule>
  </conditionalFormatting>
  <conditionalFormatting sqref="BI26">
    <cfRule type="containsText" dxfId="225" priority="1008" stopIfTrue="1" operator="containsText" text="P">
      <formula>NOT(ISERROR(SEARCH("P",BI26)))</formula>
    </cfRule>
    <cfRule type="containsText" dxfId="224" priority="1007" operator="containsText" text="E">
      <formula>NOT(ISERROR(SEARCH("E",BI26)))</formula>
    </cfRule>
  </conditionalFormatting>
  <conditionalFormatting sqref="BI33:BI34">
    <cfRule type="containsText" dxfId="223" priority="297" stopIfTrue="1" operator="containsText" text="P">
      <formula>NOT(ISERROR(SEARCH("P",BI33)))</formula>
    </cfRule>
    <cfRule type="containsText" dxfId="222" priority="296" operator="containsText" text="E">
      <formula>NOT(ISERROR(SEARCH("E",BI33)))</formula>
    </cfRule>
  </conditionalFormatting>
  <conditionalFormatting sqref="BI36:BI40">
    <cfRule type="containsText" dxfId="221" priority="1439" stopIfTrue="1" operator="containsText" text="P">
      <formula>NOT(ISERROR(SEARCH("P",BI36)))</formula>
    </cfRule>
    <cfRule type="containsText" dxfId="220" priority="1438" operator="containsText" text="E">
      <formula>NOT(ISERROR(SEARCH("E",BI36)))</formula>
    </cfRule>
  </conditionalFormatting>
  <conditionalFormatting sqref="BI42:BI43">
    <cfRule type="containsText" dxfId="219" priority="783" operator="containsText" text="E">
      <formula>NOT(ISERROR(SEARCH("E",BI42)))</formula>
    </cfRule>
    <cfRule type="containsText" dxfId="218" priority="784" stopIfTrue="1" operator="containsText" text="P">
      <formula>NOT(ISERROR(SEARCH("P",BI42)))</formula>
    </cfRule>
  </conditionalFormatting>
  <conditionalFormatting sqref="BI50">
    <cfRule type="containsText" dxfId="217" priority="160" stopIfTrue="1" operator="containsText" text="P">
      <formula>NOT(ISERROR(SEARCH("P",BI50)))</formula>
    </cfRule>
    <cfRule type="containsText" dxfId="216" priority="159" operator="containsText" text="E">
      <formula>NOT(ISERROR(SEARCH("E",BI50)))</formula>
    </cfRule>
  </conditionalFormatting>
  <conditionalFormatting sqref="BI57">
    <cfRule type="containsText" dxfId="215" priority="119" operator="containsText" text="E">
      <formula>NOT(ISERROR(SEARCH("E",BI57)))</formula>
    </cfRule>
    <cfRule type="containsText" dxfId="214" priority="120" stopIfTrue="1" operator="containsText" text="P">
      <formula>NOT(ISERROR(SEARCH("P",BI57)))</formula>
    </cfRule>
  </conditionalFormatting>
  <conditionalFormatting sqref="BI10:BJ10">
    <cfRule type="containsText" dxfId="213" priority="653" stopIfTrue="1" operator="containsText" text="P">
      <formula>NOT(ISERROR(SEARCH("P",BI10)))</formula>
    </cfRule>
    <cfRule type="containsText" dxfId="212" priority="652" operator="containsText" text="E">
      <formula>NOT(ISERROR(SEARCH("E",BI10)))</formula>
    </cfRule>
  </conditionalFormatting>
  <conditionalFormatting sqref="BI19:BL19">
    <cfRule type="containsText" dxfId="211" priority="786" stopIfTrue="1" operator="containsText" text="P">
      <formula>NOT(ISERROR(SEARCH("P",BI19)))</formula>
    </cfRule>
    <cfRule type="containsText" dxfId="210" priority="785" operator="containsText" text="E">
      <formula>NOT(ISERROR(SEARCH("E",BI19)))</formula>
    </cfRule>
  </conditionalFormatting>
  <conditionalFormatting sqref="BJ20">
    <cfRule type="containsText" dxfId="209" priority="636" operator="containsText" text="E">
      <formula>NOT(ISERROR(SEARCH("E",BJ20)))</formula>
    </cfRule>
    <cfRule type="containsText" dxfId="208" priority="637" stopIfTrue="1" operator="containsText" text="P">
      <formula>NOT(ISERROR(SEARCH("P",BJ20)))</formula>
    </cfRule>
  </conditionalFormatting>
  <conditionalFormatting sqref="BJ24:BJ25">
    <cfRule type="containsText" dxfId="207" priority="629" stopIfTrue="1" operator="containsText" text="P">
      <formula>NOT(ISERROR(SEARCH("P",BJ24)))</formula>
    </cfRule>
    <cfRule type="containsText" dxfId="206" priority="628" operator="containsText" text="E">
      <formula>NOT(ISERROR(SEARCH("E",BJ24)))</formula>
    </cfRule>
  </conditionalFormatting>
  <conditionalFormatting sqref="BJ32:BJ39">
    <cfRule type="containsText" dxfId="205" priority="608" stopIfTrue="1" operator="containsText" text="P">
      <formula>NOT(ISERROR(SEARCH("P",BJ32)))</formula>
    </cfRule>
    <cfRule type="containsText" dxfId="204" priority="607" operator="containsText" text="E">
      <formula>NOT(ISERROR(SEARCH("E",BJ32)))</formula>
    </cfRule>
  </conditionalFormatting>
  <conditionalFormatting sqref="BJ43:BJ63">
    <cfRule type="containsText" dxfId="203" priority="599" operator="containsText" text="E">
      <formula>NOT(ISERROR(SEARCH("E",BJ43)))</formula>
    </cfRule>
    <cfRule type="containsText" dxfId="202" priority="600" stopIfTrue="1" operator="containsText" text="P">
      <formula>NOT(ISERROR(SEARCH("P",BJ43)))</formula>
    </cfRule>
  </conditionalFormatting>
  <conditionalFormatting sqref="BJ15:BL18">
    <cfRule type="containsText" dxfId="201" priority="655" operator="containsText" text="E">
      <formula>NOT(ISERROR(SEARCH("E",BJ15)))</formula>
    </cfRule>
    <cfRule type="containsText" dxfId="200" priority="656" stopIfTrue="1" operator="containsText" text="P">
      <formula>NOT(ISERROR(SEARCH("P",BJ15)))</formula>
    </cfRule>
  </conditionalFormatting>
  <conditionalFormatting sqref="BJ23:BL23">
    <cfRule type="containsText" dxfId="199" priority="742" stopIfTrue="1" operator="containsText" text="P">
      <formula>NOT(ISERROR(SEARCH("P",BJ23)))</formula>
    </cfRule>
  </conditionalFormatting>
  <conditionalFormatting sqref="BJ26:BL31">
    <cfRule type="containsText" dxfId="198" priority="657" operator="containsText" text="E">
      <formula>NOT(ISERROR(SEARCH("E",BJ26)))</formula>
    </cfRule>
    <cfRule type="containsText" dxfId="197" priority="658" stopIfTrue="1" operator="containsText" text="P">
      <formula>NOT(ISERROR(SEARCH("P",BJ26)))</formula>
    </cfRule>
  </conditionalFormatting>
  <conditionalFormatting sqref="BJ40:BL40">
    <cfRule type="containsText" dxfId="196" priority="746" stopIfTrue="1" operator="containsText" text="P">
      <formula>NOT(ISERROR(SEARCH("P",BJ40)))</formula>
    </cfRule>
    <cfRule type="containsText" dxfId="195" priority="745" operator="containsText" text="E">
      <formula>NOT(ISERROR(SEARCH("E",BJ40)))</formula>
    </cfRule>
  </conditionalFormatting>
  <conditionalFormatting sqref="BJ11:BM11">
    <cfRule type="containsText" dxfId="194" priority="774" stopIfTrue="1" operator="containsText" text="P">
      <formula>NOT(ISERROR(SEARCH("P",BJ11)))</formula>
    </cfRule>
    <cfRule type="containsText" dxfId="193" priority="773" operator="containsText" text="E">
      <formula>NOT(ISERROR(SEARCH("E",BJ11)))</formula>
    </cfRule>
  </conditionalFormatting>
  <conditionalFormatting sqref="BK10">
    <cfRule type="cellIs" dxfId="192" priority="647" operator="between">
      <formula>1</formula>
      <formula>3</formula>
    </cfRule>
    <cfRule type="cellIs" dxfId="191" priority="648" operator="greaterThanOrEqual">
      <formula>4</formula>
    </cfRule>
    <cfRule type="containsText" priority="649" operator="containsText" text="N.A.">
      <formula>NOT(ISERROR(SEARCH("N.A.",BK10)))</formula>
    </cfRule>
    <cfRule type="containsText" dxfId="190" priority="650" operator="containsText" text="PEND">
      <formula>NOT(ISERROR(SEARCH("PEND",BK10)))</formula>
    </cfRule>
    <cfRule type="containsBlanks" dxfId="189" priority="651">
      <formula>LEN(TRIM(BK10))=0</formula>
    </cfRule>
  </conditionalFormatting>
  <conditionalFormatting sqref="BK12:BK14">
    <cfRule type="containsText" priority="641" operator="containsText" text="N.A.">
      <formula>NOT(ISERROR(SEARCH("N.A.",BK12)))</formula>
    </cfRule>
    <cfRule type="containsBlanks" dxfId="188" priority="643">
      <formula>LEN(TRIM(BK12))=0</formula>
    </cfRule>
    <cfRule type="cellIs" dxfId="187" priority="639" operator="between">
      <formula>1</formula>
      <formula>3</formula>
    </cfRule>
    <cfRule type="cellIs" dxfId="186" priority="640" operator="greaterThanOrEqual">
      <formula>4</formula>
    </cfRule>
    <cfRule type="containsText" dxfId="185" priority="642" operator="containsText" text="PEND">
      <formula>NOT(ISERROR(SEARCH("PEND",BK12)))</formula>
    </cfRule>
  </conditionalFormatting>
  <conditionalFormatting sqref="BK20">
    <cfRule type="cellIs" dxfId="184" priority="631" operator="between">
      <formula>1</formula>
      <formula>3</formula>
    </cfRule>
    <cfRule type="cellIs" dxfId="183" priority="632" operator="greaterThanOrEqual">
      <formula>4</formula>
    </cfRule>
    <cfRule type="containsText" dxfId="182" priority="634" operator="containsText" text="PEND">
      <formula>NOT(ISERROR(SEARCH("PEND",BK20)))</formula>
    </cfRule>
    <cfRule type="containsBlanks" dxfId="181" priority="635">
      <formula>LEN(TRIM(BK20))=0</formula>
    </cfRule>
    <cfRule type="containsText" priority="633" operator="containsText" text="N.A.">
      <formula>NOT(ISERROR(SEARCH("N.A.",BK20)))</formula>
    </cfRule>
  </conditionalFormatting>
  <conditionalFormatting sqref="BK24:BK25">
    <cfRule type="containsText" dxfId="180" priority="626" operator="containsText" text="PEND">
      <formula>NOT(ISERROR(SEARCH("PEND",BK24)))</formula>
    </cfRule>
    <cfRule type="containsBlanks" dxfId="179" priority="627">
      <formula>LEN(TRIM(BK24))=0</formula>
    </cfRule>
    <cfRule type="containsText" priority="625" operator="containsText" text="N.A.">
      <formula>NOT(ISERROR(SEARCH("N.A.",BK24)))</formula>
    </cfRule>
    <cfRule type="cellIs" dxfId="178" priority="624" operator="greaterThanOrEqual">
      <formula>4</formula>
    </cfRule>
    <cfRule type="cellIs" dxfId="177" priority="623" operator="between">
      <formula>1</formula>
      <formula>3</formula>
    </cfRule>
  </conditionalFormatting>
  <conditionalFormatting sqref="BK32:BK33">
    <cfRule type="cellIs" dxfId="176" priority="616" operator="greaterThanOrEqual">
      <formula>4</formula>
    </cfRule>
    <cfRule type="containsText" dxfId="175" priority="618" operator="containsText" text="PEND">
      <formula>NOT(ISERROR(SEARCH("PEND",BK32)))</formula>
    </cfRule>
    <cfRule type="containsBlanks" dxfId="174" priority="619">
      <formula>LEN(TRIM(BK32))=0</formula>
    </cfRule>
    <cfRule type="cellIs" dxfId="173" priority="615" operator="between">
      <formula>1</formula>
      <formula>3</formula>
    </cfRule>
    <cfRule type="containsText" priority="617" operator="containsText" text="N.A.">
      <formula>NOT(ISERROR(SEARCH("N.A.",BK32)))</formula>
    </cfRule>
  </conditionalFormatting>
  <conditionalFormatting sqref="BK38">
    <cfRule type="containsText" priority="604" operator="containsText" text="N.A.">
      <formula>NOT(ISERROR(SEARCH("N.A.",BK38)))</formula>
    </cfRule>
    <cfRule type="cellIs" dxfId="172" priority="602" operator="between">
      <formula>1</formula>
      <formula>3</formula>
    </cfRule>
    <cfRule type="containsText" dxfId="171" priority="605" operator="containsText" text="PEND">
      <formula>NOT(ISERROR(SEARCH("PEND",BK38)))</formula>
    </cfRule>
    <cfRule type="cellIs" dxfId="170" priority="603" operator="greaterThanOrEqual">
      <formula>4</formula>
    </cfRule>
    <cfRule type="containsBlanks" dxfId="169" priority="606">
      <formula>LEN(TRIM(BK38))=0</formula>
    </cfRule>
  </conditionalFormatting>
  <conditionalFormatting sqref="BK43:BK44">
    <cfRule type="cellIs" dxfId="168" priority="595" operator="greaterThanOrEqual">
      <formula>4</formula>
    </cfRule>
    <cfRule type="cellIs" dxfId="167" priority="594" operator="between">
      <formula>1</formula>
      <formula>3</formula>
    </cfRule>
    <cfRule type="containsBlanks" dxfId="166" priority="598">
      <formula>LEN(TRIM(BK43))=0</formula>
    </cfRule>
    <cfRule type="containsText" priority="596" operator="containsText" text="N.A.">
      <formula>NOT(ISERROR(SEARCH("N.A.",BK43)))</formula>
    </cfRule>
    <cfRule type="containsText" dxfId="165" priority="597" operator="containsText" text="PEND">
      <formula>NOT(ISERROR(SEARCH("PEND",BK43)))</formula>
    </cfRule>
  </conditionalFormatting>
  <conditionalFormatting sqref="BK47:BK49">
    <cfRule type="containsText" dxfId="164" priority="1156" operator="containsText" text="PEND">
      <formula>NOT(ISERROR(SEARCH("PEND",BK47)))</formula>
    </cfRule>
    <cfRule type="containsText" priority="1155" operator="containsText" text="N.A.">
      <formula>NOT(ISERROR(SEARCH("N.A.",BK47)))</formula>
    </cfRule>
    <cfRule type="cellIs" dxfId="163" priority="1154" operator="greaterThanOrEqual">
      <formula>4</formula>
    </cfRule>
    <cfRule type="cellIs" dxfId="162" priority="1153" operator="between">
      <formula>1</formula>
      <formula>3</formula>
    </cfRule>
    <cfRule type="containsBlanks" dxfId="161" priority="1157">
      <formula>LEN(TRIM(BK47))=0</formula>
    </cfRule>
  </conditionalFormatting>
  <conditionalFormatting sqref="BK54">
    <cfRule type="containsBlanks" dxfId="160" priority="230">
      <formula>LEN(TRIM(BK54))=0</formula>
    </cfRule>
    <cfRule type="containsText" priority="228" operator="containsText" text="N.A.">
      <formula>NOT(ISERROR(SEARCH("N.A.",BK54)))</formula>
    </cfRule>
    <cfRule type="cellIs" dxfId="159" priority="227" operator="greaterThanOrEqual">
      <formula>4</formula>
    </cfRule>
    <cfRule type="cellIs" dxfId="158" priority="226" operator="between">
      <formula>1</formula>
      <formula>3</formula>
    </cfRule>
    <cfRule type="containsText" dxfId="157" priority="229" operator="containsText" text="PEND">
      <formula>NOT(ISERROR(SEARCH("PEND",BK54)))</formula>
    </cfRule>
  </conditionalFormatting>
  <conditionalFormatting sqref="BK56:BK59">
    <cfRule type="cellIs" dxfId="156" priority="214" operator="between">
      <formula>1</formula>
      <formula>3</formula>
    </cfRule>
    <cfRule type="cellIs" dxfId="155" priority="215" operator="greaterThanOrEqual">
      <formula>4</formula>
    </cfRule>
    <cfRule type="containsText" priority="216" operator="containsText" text="N.A.">
      <formula>NOT(ISERROR(SEARCH("N.A.",BK56)))</formula>
    </cfRule>
    <cfRule type="containsText" dxfId="154" priority="217" operator="containsText" text="PEND">
      <formula>NOT(ISERROR(SEARCH("PEND",BK56)))</formula>
    </cfRule>
    <cfRule type="containsBlanks" dxfId="153" priority="218">
      <formula>LEN(TRIM(BK56))=0</formula>
    </cfRule>
  </conditionalFormatting>
  <conditionalFormatting sqref="BK62:BK63">
    <cfRule type="containsBlanks" dxfId="152" priority="94">
      <formula>LEN(TRIM(BK62))=0</formula>
    </cfRule>
    <cfRule type="containsText" priority="92" operator="containsText" text="N.A.">
      <formula>NOT(ISERROR(SEARCH("N.A.",BK62)))</formula>
    </cfRule>
    <cfRule type="cellIs" dxfId="151" priority="91" operator="greaterThanOrEqual">
      <formula>4</formula>
    </cfRule>
    <cfRule type="cellIs" dxfId="150" priority="90" operator="between">
      <formula>1</formula>
      <formula>3</formula>
    </cfRule>
    <cfRule type="containsText" dxfId="149" priority="93" operator="containsText" text="PEND">
      <formula>NOT(ISERROR(SEARCH("PEND",BK62)))</formula>
    </cfRule>
  </conditionalFormatting>
  <conditionalFormatting sqref="BK34:BL37">
    <cfRule type="containsText" dxfId="148" priority="609" operator="containsText" text="E">
      <formula>NOT(ISERROR(SEARCH("E",BK34)))</formula>
    </cfRule>
    <cfRule type="containsText" dxfId="147" priority="610" stopIfTrue="1" operator="containsText" text="P">
      <formula>NOT(ISERROR(SEARCH("P",BK34)))</formula>
    </cfRule>
  </conditionalFormatting>
  <conditionalFormatting sqref="BK45:BM46">
    <cfRule type="containsText" dxfId="146" priority="1005" stopIfTrue="1" operator="containsText" text="P">
      <formula>NOT(ISERROR(SEARCH("P",BK45)))</formula>
    </cfRule>
    <cfRule type="containsText" dxfId="145" priority="1004" operator="containsText" text="E">
      <formula>NOT(ISERROR(SEARCH("E",BK45)))</formula>
    </cfRule>
  </conditionalFormatting>
  <conditionalFormatting sqref="BK50:BM53">
    <cfRule type="containsText" dxfId="144" priority="33" stopIfTrue="1" operator="containsText" text="P">
      <formula>NOT(ISERROR(SEARCH("P",BK50)))</formula>
    </cfRule>
    <cfRule type="containsText" dxfId="143" priority="32" operator="containsText" text="E">
      <formula>NOT(ISERROR(SEARCH("E",BK50)))</formula>
    </cfRule>
  </conditionalFormatting>
  <conditionalFormatting sqref="BK55:BM55">
    <cfRule type="containsText" dxfId="142" priority="370" operator="containsText" text="E">
      <formula>NOT(ISERROR(SEARCH("E",BK55)))</formula>
    </cfRule>
    <cfRule type="containsText" dxfId="141" priority="371" stopIfTrue="1" operator="containsText" text="P">
      <formula>NOT(ISERROR(SEARCH("P",BK55)))</formula>
    </cfRule>
  </conditionalFormatting>
  <conditionalFormatting sqref="BK60:BM61">
    <cfRule type="containsText" dxfId="140" priority="38" operator="containsText" text="E">
      <formula>NOT(ISERROR(SEARCH("E",BK60)))</formula>
    </cfRule>
    <cfRule type="containsText" dxfId="139" priority="39" stopIfTrue="1" operator="containsText" text="P">
      <formula>NOT(ISERROR(SEARCH("P",BK60)))</formula>
    </cfRule>
  </conditionalFormatting>
  <conditionalFormatting sqref="BL10">
    <cfRule type="containsText" dxfId="138" priority="654" stopIfTrue="1" operator="containsText" text="NO">
      <formula>NOT(ISERROR(SEARCH("NO",BL10)))</formula>
    </cfRule>
  </conditionalFormatting>
  <conditionalFormatting sqref="BL12">
    <cfRule type="containsText" dxfId="137" priority="2915" stopIfTrue="1" operator="containsText" text="P">
      <formula>NOT(ISERROR(SEARCH("P",BL12)))</formula>
    </cfRule>
    <cfRule type="containsText" dxfId="136" priority="2914" operator="containsText" text="E">
      <formula>NOT(ISERROR(SEARCH("E",BL12)))</formula>
    </cfRule>
  </conditionalFormatting>
  <conditionalFormatting sqref="BL13:BL14">
    <cfRule type="containsText" dxfId="135" priority="646" stopIfTrue="1" operator="containsText" text="NO">
      <formula>NOT(ISERROR(SEARCH("NO",BL13)))</formula>
    </cfRule>
  </conditionalFormatting>
  <conditionalFormatting sqref="BL20">
    <cfRule type="containsText" dxfId="134" priority="638" stopIfTrue="1" operator="containsText" text="NO">
      <formula>NOT(ISERROR(SEARCH("NO",BL20)))</formula>
    </cfRule>
  </conditionalFormatting>
  <conditionalFormatting sqref="BL24:BL25">
    <cfRule type="containsText" dxfId="133" priority="630" stopIfTrue="1" operator="containsText" text="NO">
      <formula>NOT(ISERROR(SEARCH("NO",BL24)))</formula>
    </cfRule>
  </conditionalFormatting>
  <conditionalFormatting sqref="BL32:BL33">
    <cfRule type="containsText" dxfId="132" priority="622" stopIfTrue="1" operator="containsText" text="NO">
      <formula>NOT(ISERROR(SEARCH("NO",BL32)))</formula>
    </cfRule>
  </conditionalFormatting>
  <conditionalFormatting sqref="BL38">
    <cfRule type="containsText" dxfId="131" priority="601" stopIfTrue="1" operator="containsText" text="NO">
      <formula>NOT(ISERROR(SEARCH("NO",BL38)))</formula>
    </cfRule>
  </conditionalFormatting>
  <conditionalFormatting sqref="BL43:BL44">
    <cfRule type="containsText" dxfId="130" priority="593" stopIfTrue="1" operator="containsText" text="NO">
      <formula>NOT(ISERROR(SEARCH("NO",BL43)))</formula>
    </cfRule>
  </conditionalFormatting>
  <conditionalFormatting sqref="BL47:BL49">
    <cfRule type="containsText" dxfId="129" priority="1150" stopIfTrue="1" operator="containsText" text="NO">
      <formula>NOT(ISERROR(SEARCH("NO",BL47)))</formula>
    </cfRule>
  </conditionalFormatting>
  <conditionalFormatting sqref="BL54">
    <cfRule type="containsText" dxfId="128" priority="225" stopIfTrue="1" operator="containsText" text="NO">
      <formula>NOT(ISERROR(SEARCH("NO",BL54)))</formula>
    </cfRule>
  </conditionalFormatting>
  <conditionalFormatting sqref="BL56:BL59">
    <cfRule type="containsText" dxfId="127" priority="213" stopIfTrue="1" operator="containsText" text="NO">
      <formula>NOT(ISERROR(SEARCH("NO",BL56)))</formula>
    </cfRule>
  </conditionalFormatting>
  <conditionalFormatting sqref="BL62:BL63">
    <cfRule type="containsText" dxfId="126" priority="89" stopIfTrue="1" operator="containsText" text="NO">
      <formula>NOT(ISERROR(SEARCH("NO",BL62)))</formula>
    </cfRule>
  </conditionalFormatting>
  <conditionalFormatting sqref="BM15">
    <cfRule type="containsText" dxfId="125" priority="36" operator="containsText" text="E">
      <formula>NOT(ISERROR(SEARCH("E",BM15)))</formula>
    </cfRule>
    <cfRule type="containsText" dxfId="124" priority="37" stopIfTrue="1" operator="containsText" text="P">
      <formula>NOT(ISERROR(SEARCH("P",BM15)))</formula>
    </cfRule>
  </conditionalFormatting>
  <conditionalFormatting sqref="BM18:BM19 BJ21:BM22 BM26 BM36 BK39:BM39 BJ42:BM42">
    <cfRule type="containsText" dxfId="123" priority="43" stopIfTrue="1" operator="containsText" text="P">
      <formula>NOT(ISERROR(SEARCH("P",BJ18)))</formula>
    </cfRule>
    <cfRule type="containsText" dxfId="122" priority="42" operator="containsText" text="E">
      <formula>NOT(ISERROR(SEARCH("E",BJ18)))</formula>
    </cfRule>
  </conditionalFormatting>
  <conditionalFormatting sqref="BM34">
    <cfRule type="containsText" dxfId="121" priority="1380" stopIfTrue="1" operator="containsText" text="NO">
      <formula>NOT(ISERROR(SEARCH("NO",BM34)))</formula>
    </cfRule>
  </conditionalFormatting>
  <conditionalFormatting sqref="BN10:BN14">
    <cfRule type="containsText" dxfId="120" priority="500" stopIfTrue="1" operator="containsText" text="P">
      <formula>NOT(ISERROR(SEARCH("P",BN10)))</formula>
    </cfRule>
    <cfRule type="containsText" dxfId="119" priority="499" operator="containsText" text="E">
      <formula>NOT(ISERROR(SEARCH("E",BN10)))</formula>
    </cfRule>
  </conditionalFormatting>
  <conditionalFormatting sqref="BN15 BN18">
    <cfRule type="containsText" dxfId="118" priority="3814" operator="containsText" text="E">
      <formula>NOT(ISERROR(SEARCH("E",BN15)))</formula>
    </cfRule>
    <cfRule type="containsText" dxfId="117" priority="3815" stopIfTrue="1" operator="containsText" text="P">
      <formula>NOT(ISERROR(SEARCH("P",BN15)))</formula>
    </cfRule>
  </conditionalFormatting>
  <conditionalFormatting sqref="BN15:BN41">
    <cfRule type="containsText" dxfId="116" priority="544" stopIfTrue="1" operator="containsText" text="P">
      <formula>NOT(ISERROR(SEARCH("P",BN15)))</formula>
    </cfRule>
  </conditionalFormatting>
  <conditionalFormatting sqref="BN16:BN17">
    <cfRule type="containsText" dxfId="115" priority="543" operator="containsText" text="E">
      <formula>NOT(ISERROR(SEARCH("E",BN16)))</formula>
    </cfRule>
  </conditionalFormatting>
  <conditionalFormatting sqref="BN19:BN63">
    <cfRule type="containsText" dxfId="114" priority="463" operator="containsText" text="E">
      <formula>NOT(ISERROR(SEARCH("E",BN19)))</formula>
    </cfRule>
  </conditionalFormatting>
  <conditionalFormatting sqref="BN42:BN63">
    <cfRule type="containsText" dxfId="113" priority="464" stopIfTrue="1" operator="containsText" text="P">
      <formula>NOT(ISERROR(SEARCH("P",BN42)))</formula>
    </cfRule>
  </conditionalFormatting>
  <conditionalFormatting sqref="BO10:BO63">
    <cfRule type="cellIs" dxfId="112" priority="241" operator="between">
      <formula>1</formula>
      <formula>3</formula>
    </cfRule>
    <cfRule type="containsBlanks" dxfId="111" priority="245">
      <formula>LEN(TRIM(BO10))=0</formula>
    </cfRule>
    <cfRule type="containsText" dxfId="110" priority="244" operator="containsText" text="PEND">
      <formula>NOT(ISERROR(SEARCH("PEND",BO10)))</formula>
    </cfRule>
    <cfRule type="containsText" priority="243" operator="containsText" text="N.A.">
      <formula>NOT(ISERROR(SEARCH("N.A.",BO10)))</formula>
    </cfRule>
    <cfRule type="cellIs" dxfId="109" priority="242" operator="greaterThanOrEqual">
      <formula>4</formula>
    </cfRule>
  </conditionalFormatting>
  <conditionalFormatting sqref="BP10:BP40">
    <cfRule type="containsText" dxfId="108" priority="724" stopIfTrue="1" operator="containsText" text="NO">
      <formula>NOT(ISERROR(SEARCH("NO",BP10)))</formula>
    </cfRule>
  </conditionalFormatting>
  <conditionalFormatting sqref="BP15">
    <cfRule type="containsText" dxfId="107" priority="1929" stopIfTrue="1" operator="containsText" text="P">
      <formula>NOT(ISERROR(SEARCH("P",BP15)))</formula>
    </cfRule>
    <cfRule type="containsText" dxfId="106" priority="1928" operator="containsText" text="E">
      <formula>NOT(ISERROR(SEARCH("E",BP15)))</formula>
    </cfRule>
  </conditionalFormatting>
  <conditionalFormatting sqref="BP18">
    <cfRule type="containsText" dxfId="105" priority="3810" stopIfTrue="1" operator="containsText" text="P">
      <formula>NOT(ISERROR(SEARCH("P",BP18)))</formula>
    </cfRule>
    <cfRule type="containsText" dxfId="104" priority="3809" operator="containsText" text="E">
      <formula>NOT(ISERROR(SEARCH("E",BP18)))</formula>
    </cfRule>
  </conditionalFormatting>
  <conditionalFormatting sqref="BP41">
    <cfRule type="containsText" dxfId="103" priority="708" stopIfTrue="1" operator="containsText" text="P">
      <formula>NOT(ISERROR(SEARCH("P",BP41)))</formula>
    </cfRule>
    <cfRule type="containsText" dxfId="102" priority="707" operator="containsText" text="E">
      <formula>NOT(ISERROR(SEARCH("E",BP41)))</formula>
    </cfRule>
  </conditionalFormatting>
  <conditionalFormatting sqref="BP42:BP63">
    <cfRule type="containsText" dxfId="101" priority="382" stopIfTrue="1" operator="containsText" text="NO">
      <formula>NOT(ISERROR(SEARCH("NO",BP42)))</formula>
    </cfRule>
  </conditionalFormatting>
  <conditionalFormatting sqref="BQ10:BQ11">
    <cfRule type="containsText" dxfId="100" priority="1244" operator="containsText" text="E">
      <formula>NOT(ISERROR(SEARCH("E",BQ10)))</formula>
    </cfRule>
    <cfRule type="containsText" dxfId="99" priority="1245" stopIfTrue="1" operator="containsText" text="P">
      <formula>NOT(ISERROR(SEARCH("P",BQ10)))</formula>
    </cfRule>
  </conditionalFormatting>
  <conditionalFormatting sqref="BQ12:BQ14">
    <cfRule type="containsText" dxfId="98" priority="1359" stopIfTrue="1" operator="containsText" text="NO">
      <formula>NOT(ISERROR(SEARCH("NO",BQ12)))</formula>
    </cfRule>
  </conditionalFormatting>
  <conditionalFormatting sqref="BQ16">
    <cfRule type="containsText" dxfId="97" priority="545" stopIfTrue="1" operator="containsText" text="NO">
      <formula>NOT(ISERROR(SEARCH("NO",BQ16)))</formula>
    </cfRule>
  </conditionalFormatting>
  <conditionalFormatting sqref="BQ17">
    <cfRule type="containsText" dxfId="96" priority="702" stopIfTrue="1" operator="containsText" text="P">
      <formula>NOT(ISERROR(SEARCH("P",BQ17)))</formula>
    </cfRule>
    <cfRule type="containsText" dxfId="95" priority="701" operator="containsText" text="E">
      <formula>NOT(ISERROR(SEARCH("E",BQ17)))</formula>
    </cfRule>
  </conditionalFormatting>
  <conditionalFormatting sqref="BQ19:BQ26">
    <cfRule type="containsText" dxfId="94" priority="704" stopIfTrue="1" operator="containsText" text="P">
      <formula>NOT(ISERROR(SEARCH("P",BQ19)))</formula>
    </cfRule>
    <cfRule type="containsText" dxfId="93" priority="703" operator="containsText" text="E">
      <formula>NOT(ISERROR(SEARCH("E",BQ19)))</formula>
    </cfRule>
  </conditionalFormatting>
  <conditionalFormatting sqref="BQ28:BQ30">
    <cfRule type="containsText" dxfId="92" priority="1352" stopIfTrue="1" operator="containsText" text="NO">
      <formula>NOT(ISERROR(SEARCH("NO",BQ28)))</formula>
    </cfRule>
  </conditionalFormatting>
  <conditionalFormatting sqref="BQ31">
    <cfRule type="containsText" dxfId="91" priority="1363" stopIfTrue="1" operator="containsText" text="P">
      <formula>NOT(ISERROR(SEARCH("P",BQ31)))</formula>
    </cfRule>
    <cfRule type="containsText" dxfId="90" priority="1362" operator="containsText" text="E">
      <formula>NOT(ISERROR(SEARCH("E",BQ31)))</formula>
    </cfRule>
  </conditionalFormatting>
  <conditionalFormatting sqref="BQ32">
    <cfRule type="containsText" dxfId="89" priority="1350" stopIfTrue="1" operator="containsText" text="NO">
      <formula>NOT(ISERROR(SEARCH("NO",BQ32)))</formula>
    </cfRule>
  </conditionalFormatting>
  <conditionalFormatting sqref="BQ33:BQ38">
    <cfRule type="containsText" dxfId="88" priority="1361" stopIfTrue="1" operator="containsText" text="P">
      <formula>NOT(ISERROR(SEARCH("P",BQ33)))</formula>
    </cfRule>
    <cfRule type="containsText" dxfId="87" priority="1360" operator="containsText" text="E">
      <formula>NOT(ISERROR(SEARCH("E",BQ33)))</formula>
    </cfRule>
  </conditionalFormatting>
  <conditionalFormatting sqref="BQ39">
    <cfRule type="containsText" dxfId="86" priority="1746" stopIfTrue="1" operator="containsText" text="NO">
      <formula>NOT(ISERROR(SEARCH("NO",BQ39)))</formula>
    </cfRule>
  </conditionalFormatting>
  <conditionalFormatting sqref="BQ40">
    <cfRule type="containsText" dxfId="85" priority="1240" operator="containsText" text="E">
      <formula>NOT(ISERROR(SEARCH("E",BQ40)))</formula>
    </cfRule>
    <cfRule type="containsText" dxfId="84" priority="1241" stopIfTrue="1" operator="containsText" text="P">
      <formula>NOT(ISERROR(SEARCH("P",BQ40)))</formula>
    </cfRule>
  </conditionalFormatting>
  <conditionalFormatting sqref="BQ42:BQ63">
    <cfRule type="containsText" dxfId="83" priority="388" operator="containsText" text="E">
      <formula>NOT(ISERROR(SEARCH("E",BQ42)))</formula>
    </cfRule>
    <cfRule type="containsText" dxfId="82" priority="389" stopIfTrue="1" operator="containsText" text="P">
      <formula>NOT(ISERROR(SEARCH("P",BQ42)))</formula>
    </cfRule>
  </conditionalFormatting>
  <conditionalFormatting sqref="BR10:BR24">
    <cfRule type="containsText" dxfId="81" priority="739" stopIfTrue="1" operator="containsText" text="P">
      <formula>NOT(ISERROR(SEARCH("P",BR10)))</formula>
    </cfRule>
    <cfRule type="containsText" dxfId="80" priority="738" operator="containsText" text="E">
      <formula>NOT(ISERROR(SEARCH("E",BR10)))</formula>
    </cfRule>
  </conditionalFormatting>
  <conditionalFormatting sqref="BR28:BR59">
    <cfRule type="containsText" dxfId="79" priority="338" operator="containsText" text="E">
      <formula>NOT(ISERROR(SEARCH("E",BR28)))</formula>
    </cfRule>
    <cfRule type="containsText" dxfId="78" priority="339" stopIfTrue="1" operator="containsText" text="P">
      <formula>NOT(ISERROR(SEARCH("P",BR28)))</formula>
    </cfRule>
  </conditionalFormatting>
  <conditionalFormatting sqref="BR61 BR63">
    <cfRule type="containsText" dxfId="77" priority="108" stopIfTrue="1" operator="containsText" text="P">
      <formula>NOT(ISERROR(SEARCH("P",BR61)))</formula>
    </cfRule>
    <cfRule type="containsText" dxfId="76" priority="107" operator="containsText" text="E">
      <formula>NOT(ISERROR(SEARCH("E",BR61)))</formula>
    </cfRule>
  </conditionalFormatting>
  <conditionalFormatting sqref="BR25:BT27">
    <cfRule type="containsText" dxfId="75" priority="581" operator="containsText" text="E">
      <formula>NOT(ISERROR(SEARCH("E",BR25)))</formula>
    </cfRule>
    <cfRule type="containsText" dxfId="74" priority="582" stopIfTrue="1" operator="containsText" text="P">
      <formula>NOT(ISERROR(SEARCH("P",BR25)))</formula>
    </cfRule>
  </conditionalFormatting>
  <conditionalFormatting sqref="BR60:BT60">
    <cfRule type="containsText" dxfId="73" priority="269" stopIfTrue="1" operator="containsText" text="P">
      <formula>NOT(ISERROR(SEARCH("P",BR60)))</formula>
    </cfRule>
    <cfRule type="containsText" dxfId="72" priority="268" operator="containsText" text="E">
      <formula>NOT(ISERROR(SEARCH("E",BR60)))</formula>
    </cfRule>
  </conditionalFormatting>
  <conditionalFormatting sqref="BR62:BT62">
    <cfRule type="containsText" dxfId="71" priority="63" stopIfTrue="1" operator="containsText" text="P">
      <formula>NOT(ISERROR(SEARCH("P",BR62)))</formula>
    </cfRule>
    <cfRule type="containsText" dxfId="70" priority="62" operator="containsText" text="E">
      <formula>NOT(ISERROR(SEARCH("E",BR62)))</formula>
    </cfRule>
  </conditionalFormatting>
  <conditionalFormatting sqref="BS10">
    <cfRule type="containsText" dxfId="69" priority="1944" operator="containsText" text="PEND">
      <formula>NOT(ISERROR(SEARCH("PEND",BS10)))</formula>
    </cfRule>
    <cfRule type="containsBlanks" dxfId="68" priority="1945">
      <formula>LEN(TRIM(BS10))=0</formula>
    </cfRule>
    <cfRule type="containsText" priority="1943" operator="containsText" text="N.A.">
      <formula>NOT(ISERROR(SEARCH("N.A.",BS10)))</formula>
    </cfRule>
    <cfRule type="cellIs" dxfId="67" priority="1941" operator="between">
      <formula>1</formula>
      <formula>3</formula>
    </cfRule>
    <cfRule type="cellIs" dxfId="66" priority="1942" operator="greaterThanOrEqual">
      <formula>4</formula>
    </cfRule>
  </conditionalFormatting>
  <conditionalFormatting sqref="BS12:BS24">
    <cfRule type="cellIs" dxfId="65" priority="583" operator="between">
      <formula>1</formula>
      <formula>3</formula>
    </cfRule>
    <cfRule type="containsBlanks" dxfId="64" priority="587">
      <formula>LEN(TRIM(BS12))=0</formula>
    </cfRule>
    <cfRule type="containsText" dxfId="63" priority="586" operator="containsText" text="PEND">
      <formula>NOT(ISERROR(SEARCH("PEND",BS12)))</formula>
    </cfRule>
    <cfRule type="containsText" priority="585" operator="containsText" text="N.A.">
      <formula>NOT(ISERROR(SEARCH("N.A.",BS12)))</formula>
    </cfRule>
    <cfRule type="cellIs" dxfId="62" priority="584" operator="greaterThanOrEqual">
      <formula>4</formula>
    </cfRule>
  </conditionalFormatting>
  <conditionalFormatting sqref="BS28:BS29">
    <cfRule type="cellIs" dxfId="61" priority="733" operator="between">
      <formula>1</formula>
      <formula>3</formula>
    </cfRule>
    <cfRule type="containsBlanks" dxfId="60" priority="737">
      <formula>LEN(TRIM(BS28))=0</formula>
    </cfRule>
    <cfRule type="containsText" priority="735" operator="containsText" text="N.A.">
      <formula>NOT(ISERROR(SEARCH("N.A.",BS28)))</formula>
    </cfRule>
    <cfRule type="containsText" dxfId="59" priority="736" operator="containsText" text="PEND">
      <formula>NOT(ISERROR(SEARCH("PEND",BS28)))</formula>
    </cfRule>
    <cfRule type="cellIs" dxfId="58" priority="734" operator="greaterThanOrEqual">
      <formula>4</formula>
    </cfRule>
  </conditionalFormatting>
  <conditionalFormatting sqref="BS32:BS36">
    <cfRule type="containsText" dxfId="57" priority="558" operator="containsText" text="PEND">
      <formula>NOT(ISERROR(SEARCH("PEND",BS32)))</formula>
    </cfRule>
    <cfRule type="containsBlanks" dxfId="56" priority="559">
      <formula>LEN(TRIM(BS32))=0</formula>
    </cfRule>
    <cfRule type="cellIs" dxfId="55" priority="556" operator="greaterThanOrEqual">
      <formula>4</formula>
    </cfRule>
    <cfRule type="containsText" priority="557" operator="containsText" text="N.A.">
      <formula>NOT(ISERROR(SEARCH("N.A.",BS32)))</formula>
    </cfRule>
    <cfRule type="cellIs" dxfId="54" priority="555" operator="between">
      <formula>1</formula>
      <formula>3</formula>
    </cfRule>
  </conditionalFormatting>
  <conditionalFormatting sqref="BS38:BS39">
    <cfRule type="cellIs" dxfId="53" priority="547" operator="between">
      <formula>1</formula>
      <formula>3</formula>
    </cfRule>
    <cfRule type="containsBlanks" dxfId="52" priority="551">
      <formula>LEN(TRIM(BS38))=0</formula>
    </cfRule>
    <cfRule type="cellIs" dxfId="51" priority="548" operator="greaterThanOrEqual">
      <formula>4</formula>
    </cfRule>
    <cfRule type="containsText" priority="549" operator="containsText" text="N.A.">
      <formula>NOT(ISERROR(SEARCH("N.A.",BS38)))</formula>
    </cfRule>
    <cfRule type="containsText" dxfId="50" priority="550" operator="containsText" text="PEND">
      <formula>NOT(ISERROR(SEARCH("PEND",BS38)))</formula>
    </cfRule>
  </conditionalFormatting>
  <conditionalFormatting sqref="BS42:BS54">
    <cfRule type="containsBlanks" dxfId="49" priority="448">
      <formula>LEN(TRIM(BS42))=0</formula>
    </cfRule>
    <cfRule type="containsText" dxfId="48" priority="447" operator="containsText" text="PEND">
      <formula>NOT(ISERROR(SEARCH("PEND",BS42)))</formula>
    </cfRule>
    <cfRule type="containsText" priority="446" operator="containsText" text="N.A.">
      <formula>NOT(ISERROR(SEARCH("N.A.",BS42)))</formula>
    </cfRule>
    <cfRule type="cellIs" dxfId="47" priority="445" operator="greaterThanOrEqual">
      <formula>4</formula>
    </cfRule>
    <cfRule type="cellIs" dxfId="46" priority="444" operator="between">
      <formula>1</formula>
      <formula>3</formula>
    </cfRule>
  </conditionalFormatting>
  <conditionalFormatting sqref="BS56:BS59">
    <cfRule type="containsBlanks" dxfId="45" priority="347">
      <formula>LEN(TRIM(BS56))=0</formula>
    </cfRule>
    <cfRule type="containsText" dxfId="44" priority="346" operator="containsText" text="PEND">
      <formula>NOT(ISERROR(SEARCH("PEND",BS56)))</formula>
    </cfRule>
    <cfRule type="cellIs" dxfId="43" priority="343" operator="between">
      <formula>1</formula>
      <formula>3</formula>
    </cfRule>
    <cfRule type="cellIs" dxfId="42" priority="344" operator="greaterThanOrEqual">
      <formula>4</formula>
    </cfRule>
    <cfRule type="containsText" priority="345" operator="containsText" text="N.A.">
      <formula>NOT(ISERROR(SEARCH("N.A.",BS56)))</formula>
    </cfRule>
  </conditionalFormatting>
  <conditionalFormatting sqref="BS61 BS63">
    <cfRule type="containsText" dxfId="41" priority="102" operator="containsText" text="PEND">
      <formula>NOT(ISERROR(SEARCH("PEND",BS61)))</formula>
    </cfRule>
    <cfRule type="containsBlanks" dxfId="40" priority="103">
      <formula>LEN(TRIM(BS61))=0</formula>
    </cfRule>
    <cfRule type="containsText" priority="101" operator="containsText" text="N.A.">
      <formula>NOT(ISERROR(SEARCH("N.A.",BS61)))</formula>
    </cfRule>
    <cfRule type="cellIs" dxfId="39" priority="100" operator="greaterThanOrEqual">
      <formula>4</formula>
    </cfRule>
    <cfRule type="cellIs" dxfId="38" priority="99" operator="between">
      <formula>1</formula>
      <formula>3</formula>
    </cfRule>
  </conditionalFormatting>
  <conditionalFormatting sqref="BS30:BT31">
    <cfRule type="containsText" dxfId="37" priority="1263" stopIfTrue="1" operator="containsText" text="P">
      <formula>NOT(ISERROR(SEARCH("P",BS30)))</formula>
    </cfRule>
    <cfRule type="containsText" dxfId="36" priority="1262" operator="containsText" text="E">
      <formula>NOT(ISERROR(SEARCH("E",BS30)))</formula>
    </cfRule>
  </conditionalFormatting>
  <conditionalFormatting sqref="BS37:BT37">
    <cfRule type="containsText" dxfId="35" priority="1251" stopIfTrue="1" operator="containsText" text="P">
      <formula>NOT(ISERROR(SEARCH("P",BS37)))</formula>
    </cfRule>
    <cfRule type="containsText" dxfId="34" priority="1250" operator="containsText" text="E">
      <formula>NOT(ISERROR(SEARCH("E",BS37)))</formula>
    </cfRule>
  </conditionalFormatting>
  <conditionalFormatting sqref="BS11:BU11">
    <cfRule type="containsText" dxfId="33" priority="1298" stopIfTrue="1" operator="containsText" text="P">
      <formula>NOT(ISERROR(SEARCH("P",BS11)))</formula>
    </cfRule>
    <cfRule type="containsText" dxfId="32" priority="1297" operator="containsText" text="E">
      <formula>NOT(ISERROR(SEARCH("E",BS11)))</formula>
    </cfRule>
  </conditionalFormatting>
  <conditionalFormatting sqref="BS40:BU41">
    <cfRule type="containsText" dxfId="31" priority="1231" stopIfTrue="1" operator="containsText" text="P">
      <formula>NOT(ISERROR(SEARCH("P",BS40)))</formula>
    </cfRule>
    <cfRule type="containsText" dxfId="30" priority="1230" operator="containsText" text="E">
      <formula>NOT(ISERROR(SEARCH("E",BS40)))</formula>
    </cfRule>
  </conditionalFormatting>
  <conditionalFormatting sqref="BS55:BU55">
    <cfRule type="containsText" dxfId="29" priority="336" operator="containsText" text="E">
      <formula>NOT(ISERROR(SEARCH("E",BS55)))</formula>
    </cfRule>
    <cfRule type="containsText" dxfId="28" priority="337" stopIfTrue="1" operator="containsText" text="P">
      <formula>NOT(ISERROR(SEARCH("P",BS55)))</formula>
    </cfRule>
  </conditionalFormatting>
  <conditionalFormatting sqref="BT10">
    <cfRule type="containsText" dxfId="27" priority="1940" stopIfTrue="1" operator="containsText" text="P">
      <formula>NOT(ISERROR(SEARCH("P",BT10)))</formula>
    </cfRule>
    <cfRule type="containsText" dxfId="26" priority="1939" operator="containsText" text="E">
      <formula>NOT(ISERROR(SEARCH("E",BT10)))</formula>
    </cfRule>
  </conditionalFormatting>
  <conditionalFormatting sqref="BT12:BT14">
    <cfRule type="containsText" dxfId="25" priority="588" stopIfTrue="1" operator="containsText" text="NO">
      <formula>NOT(ISERROR(SEARCH("NO",BT12)))</formula>
    </cfRule>
  </conditionalFormatting>
  <conditionalFormatting sqref="BT15">
    <cfRule type="containsText" dxfId="24" priority="3090" stopIfTrue="1" operator="containsText" text="P">
      <formula>NOT(ISERROR(SEARCH("P",BT15)))</formula>
    </cfRule>
    <cfRule type="containsText" dxfId="23" priority="3089" operator="containsText" text="E">
      <formula>NOT(ISERROR(SEARCH("E",BT15)))</formula>
    </cfRule>
  </conditionalFormatting>
  <conditionalFormatting sqref="BT16:BT24 BT28:BT29">
    <cfRule type="containsText" dxfId="22" priority="740" stopIfTrue="1" operator="containsText" text="NO">
      <formula>NOT(ISERROR(SEARCH("NO",BT16)))</formula>
    </cfRule>
  </conditionalFormatting>
  <conditionalFormatting sqref="BT32:BT36">
    <cfRule type="containsText" dxfId="21" priority="560" stopIfTrue="1" operator="containsText" text="NO">
      <formula>NOT(ISERROR(SEARCH("NO",BT32)))</formula>
    </cfRule>
  </conditionalFormatting>
  <conditionalFormatting sqref="BT38:BT39">
    <cfRule type="containsText" dxfId="20" priority="552" stopIfTrue="1" operator="containsText" text="NO">
      <formula>NOT(ISERROR(SEARCH("NO",BT38)))</formula>
    </cfRule>
  </conditionalFormatting>
  <conditionalFormatting sqref="BT42:BT54">
    <cfRule type="containsText" dxfId="19" priority="443" stopIfTrue="1" operator="containsText" text="NO">
      <formula>NOT(ISERROR(SEARCH("NO",BT42)))</formula>
    </cfRule>
  </conditionalFormatting>
  <conditionalFormatting sqref="BT56:BT59">
    <cfRule type="containsText" dxfId="18" priority="342" stopIfTrue="1" operator="containsText" text="NO">
      <formula>NOT(ISERROR(SEARCH("NO",BT56)))</formula>
    </cfRule>
  </conditionalFormatting>
  <conditionalFormatting sqref="BT61 BT63">
    <cfRule type="containsText" dxfId="17" priority="104" stopIfTrue="1" operator="containsText" text="NO">
      <formula>NOT(ISERROR(SEARCH("NO",BT61)))</formula>
    </cfRule>
  </conditionalFormatting>
  <conditionalFormatting sqref="BU12:BU14">
    <cfRule type="containsText" dxfId="16" priority="1237" stopIfTrue="1" operator="containsText" text="P">
      <formula>NOT(ISERROR(SEARCH("P",BU12)))</formula>
    </cfRule>
    <cfRule type="containsText" dxfId="15" priority="1236" operator="containsText" text="E">
      <formula>NOT(ISERROR(SEARCH("E",BU12)))</formula>
    </cfRule>
  </conditionalFormatting>
  <conditionalFormatting sqref="BU16:BU17">
    <cfRule type="containsText" dxfId="14" priority="1234" operator="containsText" text="E">
      <formula>NOT(ISERROR(SEARCH("E",BU16)))</formula>
    </cfRule>
    <cfRule type="containsText" dxfId="13" priority="1235" stopIfTrue="1" operator="containsText" text="P">
      <formula>NOT(ISERROR(SEARCH("P",BU16)))</formula>
    </cfRule>
  </conditionalFormatting>
  <conditionalFormatting sqref="BU19:BU39">
    <cfRule type="containsText" dxfId="12" priority="1233" stopIfTrue="1" operator="containsText" text="P">
      <formula>NOT(ISERROR(SEARCH("P",BU19)))</formula>
    </cfRule>
    <cfRule type="containsText" dxfId="11" priority="1232" operator="containsText" text="E">
      <formula>NOT(ISERROR(SEARCH("E",BU19)))</formula>
    </cfRule>
  </conditionalFormatting>
  <conditionalFormatting sqref="BU42:BU54">
    <cfRule type="containsText" dxfId="10" priority="211" operator="containsText" text="E">
      <formula>NOT(ISERROR(SEARCH("E",BU42)))</formula>
    </cfRule>
    <cfRule type="containsText" dxfId="9" priority="212" stopIfTrue="1" operator="containsText" text="P">
      <formula>NOT(ISERROR(SEARCH("P",BU42)))</formula>
    </cfRule>
  </conditionalFormatting>
  <conditionalFormatting sqref="BU56:BU63">
    <cfRule type="containsText" dxfId="8" priority="105" operator="containsText" text="E">
      <formula>NOT(ISERROR(SEARCH("E",BU56)))</formula>
    </cfRule>
    <cfRule type="containsText" dxfId="7" priority="106" stopIfTrue="1" operator="containsText" text="P">
      <formula>NOT(ISERROR(SEARCH("P",BU56)))</formula>
    </cfRule>
  </conditionalFormatting>
  <conditionalFormatting sqref="BW66">
    <cfRule type="containsText" dxfId="6" priority="579" operator="containsText" text="E">
      <formula>NOT(ISERROR(SEARCH("E",BW66)))</formula>
    </cfRule>
    <cfRule type="containsText" dxfId="5" priority="580" stopIfTrue="1" operator="containsText" text="P">
      <formula>NOT(ISERROR(SEARCH("P",BW66)))</formula>
    </cfRule>
  </conditionalFormatting>
  <conditionalFormatting sqref="BY66">
    <cfRule type="containsText" dxfId="4" priority="573" stopIfTrue="1" operator="containsText" text="NO">
      <formula>NOT(ISERROR(SEARCH("NO",BY66)))</formula>
    </cfRule>
  </conditionalFormatting>
  <conditionalFormatting sqref="AX44">
    <cfRule type="containsText" dxfId="2" priority="1" operator="containsText" text="E">
      <formula>NOT(ISERROR(SEARCH("E",AX44)))</formula>
    </cfRule>
    <cfRule type="containsText" dxfId="3" priority="2" stopIfTrue="1" operator="containsText" text="P">
      <formula>NOT(ISERROR(SEARCH("P",AX44)))</formula>
    </cfRule>
  </conditionalFormatting>
  <conditionalFormatting sqref="AY44:BA44">
    <cfRule type="containsText" dxfId="0" priority="3" operator="containsText" text="E">
      <formula>NOT(ISERROR(SEARCH("E",AY44)))</formula>
    </cfRule>
    <cfRule type="containsText" dxfId="1" priority="4" stopIfTrue="1" operator="containsText" text="P">
      <formula>NOT(ISERROR(SEARCH("P",AY44)))</formula>
    </cfRule>
  </conditionalFormatting>
  <dataValidations xWindow="1209" yWindow="789" count="5">
    <dataValidation type="list" allowBlank="1" showInputMessage="1" showErrorMessage="1" sqref="L8 X8 AR8 AB8 T8 P8 AN8 AV8 AZ8 BD8 BH8 BL8 BP8 BT8 AF8 AR10 L12:L21 AV11:AV12 AF10:AF12 AR14 AF24:AF25 AZ61 AR12 BD33 BH43:BH44 AF21 BH27 AZ15:AZ16 T42:T63 AZ33 AZ29 AR26:AR53 AZ57 BD36 P12:P15 AJ35:AJ36 BH50 BH33:BH34 X43 BH38 BT26:BT31 BL24:BL25 T12:T39 BL13:BL14 AR24 AN24 BT11 BT24 BL20 BL10 BP24:BP40 BD38:BD44 AJ50 BL43:BL44 AN26:AN63 BP42:BP63 L10 T10 BL32:BL39 BH60:BH61 AF14:AF15 AF18:AF19 AF27:AF46 X59 L42:L63 BH36 BL56:BL59 BL47:BL49 P22:P23 P27:P28 P17 P32 AJ10 AJ8 P47:P49 BH57:BH58 BL54 BT34:BT54 P59 AJ39 AJ21:AJ22 AV24:AV53 AJ18:AJ19 P45 P53:P54 P56 AZ37:AZ40 AZ35 AJ24 BT56:BT63 P62:P63 BD57 AJ33 L24:L39 BL62:BL63 AJ15 AK35 AJ42:AJ47 AZ44" xr:uid="{00000000-0002-0000-0300-000000000000}">
      <formula1>"SI, NO"</formula1>
    </dataValidation>
    <dataValidation allowBlank="1" showInputMessage="1" showErrorMessage="1" prompt="Registre P si la persona ha sido programada para esta capacitación._x000a_Registre E si la persona ha tomado la capacitación." sqref="AR15:AR21 AU15:AU23 AT10:AT13 AV15:AV21 AR13 BJ42 AT14:AV14 BC20:BD20 BD21:BD23 AT15:AT21 AZ18:AZ19 AX20:AZ20 Q22:Q23 AQ26 Q15 BI36:BJ36 BH12:BH26 BH28 AP10:AP21 BT32:BT33 AQ25:AR25 AX43:AZ43 BI12:BI29 AL14:AL21 AH25:AN25 AR11 BE19:BE23 BJ32:BJ35 BM34 BQ13:BQ14 BT12:BT20 AZ10:BB14 BH39 AY12:AY15 AL24 AZ34 AF13 AL10:AN13 AN14:AN21 AU10:AV10 AV13 BA15:BF16 AY17:BA17 AY10 AY22:BA23 AZ21:BA21 AY30:BA30 BA29 AY32 AZ31:BA32 AM14:AM24 AY41:BA41 BA33:BA36 BA37:BB37 BA39:BA40 BU31:BU33 N11:T11 J11:L11 J43:J44 AZ27:BA27 BA24:BA25 BD24:BE32 AQ15:AQ24 BD17:BD19 BE17 BB38:BB44 BI33:BI34 BS23 BP10:BQ12 BO19:BO21 BU11:BU14 BQ28:BQ40 BU35:BU38 BE38:BE43 BP13:BP16 BT10 BU16:BU17 BS15:BS17 BU19:BU28 BS25:BT25 BD36:BD37 AH58:AH63 BJ23:BL23 W21:Y23 N10:R10 BI43:BJ43 BN56:BN63 BJ40:BL41 BM39 BH37:BJ37 BL12 BF11:BH11 N50:Q52 AE25:AE27 BQ19:BQ26 BJ11:BM11 BI38:BJ39 V38:X38 BS20 AX58:AZ59 AP24:AP53 J40:L41 AL26:AL63 Z10:AB44 AF20 BL45:BM46 R42:R43 AJ51:AK51 V10:Y11 V24:X24 V34:Y37 V39:Y40 X20 W15:Y19 X12:X14 W14 V41:W44 X41:X42 V45:Y46 X44 V25:Y31 V47:X49 J10 J12:J21 R12:R32 BD10:BE14 BF10 BF12:BF14 BH10:BJ10 BF29:BH29 Z45:AE45 Z46:AB46 R34:R39 R40:T41 AX10:AX19 BF17:BF28 BD35:BF35 BJ15:BL18 BH40:BI42 BJ31:BL31 BJ12:BJ14 BP18:BP21 BJ19:BJ22 BK26:BL30 BJ24:BJ30 BQ16:BQ17 W54:X58 AX57 AD24:AD25 BH30:BI32 AH35:AH36 BA42:BA50 V12:V23 V32:X33 BB45:BD51 AE44 AD10:AD21 AF16:AF17 AE14:AE23 AE30 AE42 AD27:AD44 AD46 V60:Y63 BP41 BL55:BN55 BD58 BU41:BU54 BT55:BU55 AZ42 BJ60:BJ63 AH57:AK57 BN54 AX21:AX42 AY28:BA28 AZ24:AZ26 AH55:AK55 BF51:BI56 BB17:BB36 BE33:BE34 BE36 BF30:BF34 BF36:BF44 BH35:BI35 BA59:BJ59 BB61:BD61 BF61 N16:Q16 N17 N18:Q21 Q17 N22:N23 N24:Q26 Q13 Q28 N29:Q31 N27:N28 N32 Q32 N33:Q44 N47:N49 AH15:AI15 N55:Q55 N57:Q58 AY60:AZ60 BB60:BF60 BE57 BN10:BN51 AX62:BI63 AI21:AI22 AH16:AK17 AH45:AI45 AI26 AH42:AH44 N59 AH21 AX60:AX61 AH24 AI42 AH20:AK20 AH37:AK38 N12:N15 Q45 N45 N46:Q46 N53:N54 N56 AZ36 BI50 BG45:BI49 BE45:BF50 AH10:AI10 AH11:AK14 Z47:AG63 AT24:AT53 AH18:AI19 AH23:AK23 AH27:AK32 AH39 AH34:AK34 N62:N63 AH53:AH54 AK53 BI57 AH52:AK52 AH56 AJ56 V50:Y53 BB54:BB58 BC54:BE56 AJ58:AJ63 AJ53:AJ54 AH48:AK49 AH40:AK41 AX45:AZ56 BA52:BA57 BB52:BE53 BM15 AH50:AH51 BQ42:BQ63 BF57:BF58 BA60:BA61 AH33 BU56:BU63 AH46:AH47 BL52:BN53 AI44 BR10:BR63 BK19:BM19 BM18 BK21:BM22 BM26 BM36 BL42:BM42 BL50:BM51 BL60:BM61 BJ44:BJ58 Q60:Q63 N60:P61 AX44" xr:uid="{00000000-0002-0000-0300-000001000000}"/>
    <dataValidation allowBlank="1" showInputMessage="1" showErrorMessage="1" prompt="Registre la calificacion obtenida de 1 a 5" sqref="AQ27:AQ63 AE24 AU11:AU13 W12:W13 BC17:BC19 AQ10:AQ14 BC10:BC14 S12:S22 AY21 BS10:BS14 BS18:BS19 K12:K21 AY16 AY29 AY24:AY27 AY11 AY31 W20 AE10:AE13 BC21:BC44 BK24:BK25 AI58:AI63 BG60:BG61 BO10:BO16 BS24 AI35:AI36 BK32:BK39 AI50:AI51 AM26:AM63 AY42 K10 S10 BG10 BK10 K24:K39 S24:S39 AY18:AY19 BG12:BG28 AE46 BK12:BK14 BK20 AE28:AE29 AE31:AE41 AE43 BG50 BG57:BG58 W59 O62:O63 BO23:BO63 S42:S63 BG30:BG44 BC57:BC58 AI43 O17 O12:O15 O22:O23 AY33:AY40 O27:O28 AY61 O32 BS26:BS63 O59 O47:O49 O53:O54 O56 BO18 K42:K63 AI24 O45 AY57 AI39 AI53:AI54 AI56 AI33 AI46:AI47 AU24:AU63 BK42:BK63 AY44" xr:uid="{00000000-0002-0000-0300-000002000000}"/>
    <dataValidation type="list" allowBlank="1" showInputMessage="1" showErrorMessage="1" sqref="Y59 Q12 Q27 U44:U63 BU34 BU29:BU30 BU39:BU40 M45:M63 Q47:Q49 Q14" xr:uid="{00000000-0002-0000-0300-000003000000}">
      <formula1>MES</formula1>
    </dataValidation>
    <dataValidation type="list" allowBlank="1" showInputMessage="1" showErrorMessage="1" prompt="Registre P si la persona ha sido programada para esta capacitación._x000a_Registre E si la persona ha tomado la capacitación." sqref="BE61 AK15 BM10 BM47:BM49 BI60:BI61 AG10:AG46 AO10:AO63 Y47:Y49 Y24 Y12:Y14 BU10 Y20 BE58 BM43:BM44 AK26 BE44 AK59:AK63 BA51 BQ18 U10:U43 BA26 BA18:BA20 BM54 AK19 BA38 M10:M44 AW10:AW53 BQ15 BE18 BI44 Y32:Y33 BE37 BM16:BM17 Y41:Y44 Y38 BM56:BM59 BM37:BM38 AS10:AS53 AC46 BE51 AC10:AC44 BQ41 BI11 BU18 BQ27 BM27:BM33 BU15 BA58 BM40:BM41 AK21 BI58 Y54:Y58 BM20 BM23:BM25 BM35 BM12:BM14 AK44 AK50" xr:uid="{00000000-0002-0000-0300-000004000000}">
      <formula1>$CB$10:$CB$21</formula1>
    </dataValidation>
  </dataValidations>
  <pageMargins left="0.5" right="0.5" top="0.5" bottom="0.5" header="0.5" footer="0.5"/>
  <pageSetup scale="25"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3"/>
  <sheetViews>
    <sheetView workbookViewId="0">
      <selection activeCell="C11" sqref="C11"/>
    </sheetView>
  </sheetViews>
  <sheetFormatPr baseColWidth="10" defaultRowHeight="12.75"/>
  <cols>
    <col min="1" max="1" width="15.42578125" customWidth="1"/>
  </cols>
  <sheetData>
    <row r="1" spans="1:1">
      <c r="A1" t="s">
        <v>181</v>
      </c>
    </row>
    <row r="2" spans="1:1">
      <c r="A2" t="s">
        <v>69</v>
      </c>
    </row>
    <row r="3" spans="1:1">
      <c r="A3" t="s">
        <v>70</v>
      </c>
    </row>
    <row r="4" spans="1:1">
      <c r="A4" t="s">
        <v>71</v>
      </c>
    </row>
    <row r="5" spans="1:1">
      <c r="A5" t="s">
        <v>72</v>
      </c>
    </row>
    <row r="6" spans="1:1">
      <c r="A6" t="s">
        <v>73</v>
      </c>
    </row>
    <row r="7" spans="1:1">
      <c r="A7" t="s">
        <v>74</v>
      </c>
    </row>
    <row r="8" spans="1:1">
      <c r="A8" t="s">
        <v>75</v>
      </c>
    </row>
    <row r="9" spans="1:1">
      <c r="A9" t="s">
        <v>76</v>
      </c>
    </row>
    <row r="10" spans="1:1">
      <c r="A10" t="s">
        <v>77</v>
      </c>
    </row>
    <row r="11" spans="1:1">
      <c r="A11" t="s">
        <v>78</v>
      </c>
    </row>
    <row r="12" spans="1:1">
      <c r="A12" t="s">
        <v>79</v>
      </c>
    </row>
    <row r="13" spans="1:1">
      <c r="A13" t="s">
        <v>80</v>
      </c>
    </row>
  </sheetData>
  <phoneticPr fontId="4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0"/>
  <dimension ref="B1:BW29"/>
  <sheetViews>
    <sheetView showGridLines="0" view="pageBreakPreview" topLeftCell="A12" zoomScale="70" zoomScaleNormal="80" zoomScaleSheetLayoutView="70" workbookViewId="0">
      <selection activeCell="B28" sqref="B28:C28"/>
    </sheetView>
  </sheetViews>
  <sheetFormatPr baseColWidth="10" defaultColWidth="11.42578125" defaultRowHeight="14.25"/>
  <cols>
    <col min="1" max="1" width="5.42578125" style="10" customWidth="1"/>
    <col min="2" max="2" width="31.42578125" style="10" customWidth="1"/>
    <col min="3" max="3" width="11.42578125" style="10"/>
    <col min="4" max="4" width="43.42578125" style="10" customWidth="1"/>
    <col min="5" max="5" width="12.42578125" style="10" customWidth="1"/>
    <col min="6" max="6" width="10.5703125" style="10" customWidth="1"/>
    <col min="7" max="8" width="7.42578125" style="10" customWidth="1"/>
    <col min="9" max="11" width="8.42578125" style="10" customWidth="1"/>
    <col min="12" max="17" width="7.42578125" style="10" customWidth="1"/>
    <col min="18" max="18" width="0" style="10" hidden="1" customWidth="1"/>
    <col min="19" max="19" width="25" style="10" hidden="1" customWidth="1"/>
    <col min="20" max="21" width="13.42578125" style="25" hidden="1" customWidth="1"/>
    <col min="22" max="22" width="16" style="25" hidden="1" customWidth="1"/>
    <col min="23" max="23" width="13.42578125" style="25" hidden="1" customWidth="1"/>
    <col min="24" max="24" width="0" style="10" hidden="1" customWidth="1"/>
    <col min="25" max="26" width="11.42578125" style="10"/>
    <col min="27" max="27" width="25.140625" style="10" customWidth="1"/>
    <col min="28" max="50" width="11.42578125" style="10"/>
    <col min="51" max="75" width="3.42578125" style="10" customWidth="1"/>
    <col min="76" max="78" width="16.42578125" style="10" customWidth="1"/>
    <col min="79" max="83" width="11.42578125" style="10" customWidth="1"/>
    <col min="84" max="16384" width="11.42578125" style="10"/>
  </cols>
  <sheetData>
    <row r="1" spans="2:75" s="9" customFormat="1" ht="28.35" customHeight="1">
      <c r="B1" s="413"/>
      <c r="C1" s="413"/>
      <c r="D1" s="413" t="str">
        <f>SEGUIMIENTO_PERSONAL!D1</f>
        <v>PROGRAMA DE CAPACITACIÓN Y ENTRENAMIENTO ANUAL</v>
      </c>
      <c r="E1" s="413"/>
      <c r="F1" s="413"/>
      <c r="G1" s="413"/>
      <c r="H1" s="413"/>
      <c r="I1" s="413"/>
      <c r="J1" s="413"/>
      <c r="K1" s="413"/>
      <c r="L1" s="413"/>
      <c r="M1" s="413"/>
      <c r="N1" s="413"/>
      <c r="O1" s="413"/>
      <c r="P1" s="413"/>
      <c r="Q1" s="413"/>
      <c r="R1" s="413"/>
      <c r="S1" s="413"/>
      <c r="T1" s="413"/>
      <c r="U1" s="413"/>
      <c r="V1" s="413"/>
      <c r="W1" s="413"/>
      <c r="X1" s="413"/>
      <c r="Y1" s="413"/>
      <c r="Z1" s="413"/>
      <c r="AA1" s="413"/>
      <c r="AB1" s="62"/>
      <c r="AC1" s="62"/>
      <c r="AD1" s="62"/>
      <c r="AE1" s="62"/>
      <c r="AF1" s="62"/>
      <c r="AG1" s="62"/>
      <c r="AH1" s="62"/>
      <c r="AI1" s="62"/>
      <c r="AJ1" s="62"/>
      <c r="AK1" s="62"/>
      <c r="AL1" s="62"/>
      <c r="AM1" s="62"/>
      <c r="AN1" s="62"/>
      <c r="AO1" s="62"/>
      <c r="AP1" s="62"/>
      <c r="AQ1" s="62"/>
      <c r="AR1" s="62"/>
      <c r="AS1" s="62"/>
      <c r="AT1" s="62"/>
      <c r="AU1" s="62"/>
      <c r="AV1" s="62"/>
      <c r="AW1" s="62"/>
    </row>
    <row r="2" spans="2:75" ht="28.35" customHeight="1">
      <c r="B2" s="413"/>
      <c r="C2" s="413"/>
      <c r="D2" s="524" t="str">
        <f>SEGUIMIENTO_PERSONAL!D3</f>
        <v xml:space="preserve">Fecha: 24/05/2023                                                                                                                           Versión: 14                                                                                                                       HSEQ-PRG-10                  </v>
      </c>
      <c r="E2" s="525"/>
      <c r="F2" s="525"/>
      <c r="G2" s="525"/>
      <c r="H2" s="525"/>
      <c r="I2" s="525"/>
      <c r="J2" s="525"/>
      <c r="K2" s="525"/>
      <c r="L2" s="525"/>
      <c r="M2" s="525"/>
      <c r="N2" s="525"/>
      <c r="O2" s="525"/>
      <c r="P2" s="525"/>
      <c r="Q2" s="525"/>
      <c r="R2" s="526"/>
      <c r="S2" s="52"/>
      <c r="T2" s="52"/>
      <c r="U2" s="52"/>
      <c r="V2" s="52"/>
      <c r="W2" s="52"/>
      <c r="X2" s="524" t="s">
        <v>166</v>
      </c>
      <c r="Y2" s="525"/>
      <c r="Z2" s="525"/>
      <c r="AA2" s="526"/>
      <c r="AB2" s="62"/>
      <c r="AC2" s="62"/>
      <c r="AD2" s="62"/>
      <c r="AE2" s="62"/>
      <c r="AF2" s="62"/>
      <c r="AG2" s="62"/>
      <c r="AH2" s="62"/>
      <c r="AI2" s="62"/>
      <c r="AJ2" s="62"/>
      <c r="AK2" s="62"/>
      <c r="AL2" s="62"/>
      <c r="AM2" s="62"/>
      <c r="AN2" s="62"/>
      <c r="AO2" s="62"/>
      <c r="AP2" s="62"/>
      <c r="AQ2" s="62"/>
      <c r="AR2" s="62"/>
      <c r="AS2" s="62"/>
      <c r="AT2" s="62"/>
      <c r="AU2" s="62"/>
      <c r="AV2" s="62"/>
      <c r="AW2" s="62"/>
    </row>
    <row r="3" spans="2:75" customFormat="1" ht="14.45" customHeight="1" thickBot="1"/>
    <row r="4" spans="2:75" ht="15">
      <c r="B4" s="628" t="s">
        <v>99</v>
      </c>
      <c r="C4" s="629"/>
      <c r="D4" s="629"/>
      <c r="E4" s="629"/>
      <c r="F4" s="629"/>
      <c r="G4" s="629"/>
      <c r="H4" s="629"/>
      <c r="I4" s="629"/>
      <c r="J4" s="629"/>
      <c r="K4" s="629"/>
      <c r="L4" s="629"/>
      <c r="M4" s="629"/>
      <c r="N4" s="629"/>
      <c r="O4" s="629"/>
      <c r="P4" s="629"/>
      <c r="Q4" s="629"/>
      <c r="R4" s="629"/>
      <c r="S4" s="629"/>
      <c r="T4" s="629"/>
      <c r="U4" s="629"/>
      <c r="V4" s="629"/>
      <c r="W4" s="629"/>
      <c r="X4" s="629"/>
      <c r="Y4" s="629"/>
      <c r="Z4" s="629"/>
      <c r="AA4" s="630"/>
      <c r="AB4" s="63"/>
      <c r="AC4" s="63"/>
      <c r="AD4" s="63"/>
      <c r="AE4" s="63"/>
      <c r="AF4" s="63"/>
      <c r="AG4" s="63"/>
      <c r="AH4" s="63"/>
      <c r="AI4" s="63"/>
      <c r="AJ4" s="63"/>
      <c r="AK4" s="63"/>
      <c r="AL4" s="63"/>
      <c r="AM4" s="63"/>
      <c r="AN4" s="63"/>
      <c r="AO4" s="63"/>
      <c r="AP4" s="63"/>
      <c r="AQ4" s="63"/>
      <c r="AR4" s="63"/>
      <c r="AS4" s="63"/>
      <c r="AT4" s="63"/>
      <c r="AU4" s="63"/>
      <c r="AV4" s="63"/>
      <c r="AW4" s="63"/>
    </row>
    <row r="5" spans="2:75" ht="35.450000000000003" customHeight="1" thickBot="1">
      <c r="B5" s="631" t="s">
        <v>149</v>
      </c>
      <c r="C5" s="632"/>
      <c r="D5" s="632"/>
      <c r="E5" s="632"/>
      <c r="F5" s="632"/>
      <c r="G5" s="632"/>
      <c r="H5" s="632"/>
      <c r="I5" s="632"/>
      <c r="J5" s="632"/>
      <c r="K5" s="632"/>
      <c r="L5" s="632"/>
      <c r="M5" s="632"/>
      <c r="N5" s="632"/>
      <c r="O5" s="632"/>
      <c r="P5" s="632"/>
      <c r="Q5" s="632"/>
      <c r="R5" s="632"/>
      <c r="S5" s="632"/>
      <c r="T5" s="632"/>
      <c r="U5" s="632"/>
      <c r="V5" s="632"/>
      <c r="W5" s="632"/>
      <c r="X5" s="632"/>
      <c r="Y5" s="632"/>
      <c r="Z5" s="632"/>
      <c r="AA5" s="633"/>
      <c r="AB5" s="64"/>
      <c r="AC5" s="64"/>
      <c r="AD5" s="64"/>
      <c r="AE5" s="64"/>
      <c r="AF5" s="64"/>
      <c r="AG5" s="64"/>
      <c r="AH5" s="64"/>
      <c r="AI5" s="64"/>
      <c r="AJ5" s="64"/>
      <c r="AK5" s="64"/>
      <c r="AL5" s="64"/>
      <c r="AM5" s="64"/>
      <c r="AN5" s="64"/>
      <c r="AO5" s="64"/>
      <c r="AP5" s="64"/>
      <c r="AQ5" s="64"/>
      <c r="AR5" s="64"/>
      <c r="AS5" s="64"/>
      <c r="AT5" s="64"/>
      <c r="AU5" s="64"/>
      <c r="AV5" s="64"/>
      <c r="AW5" s="64"/>
    </row>
    <row r="6" spans="2:75" ht="23.25" customHeight="1">
      <c r="B6" s="549" t="s">
        <v>100</v>
      </c>
      <c r="C6" s="551" t="s">
        <v>101</v>
      </c>
      <c r="D6" s="551" t="s">
        <v>102</v>
      </c>
      <c r="E6" s="601" t="s">
        <v>103</v>
      </c>
      <c r="F6" s="603" t="s">
        <v>93</v>
      </c>
      <c r="G6" s="604"/>
      <c r="H6" s="604"/>
      <c r="I6" s="605"/>
      <c r="J6" s="605"/>
      <c r="K6" s="605"/>
      <c r="L6" s="604"/>
      <c r="M6" s="604"/>
      <c r="N6" s="604"/>
      <c r="O6" s="604"/>
      <c r="P6" s="604"/>
      <c r="Q6" s="606"/>
      <c r="R6" s="614" t="s">
        <v>137</v>
      </c>
      <c r="S6" s="31" t="s">
        <v>104</v>
      </c>
      <c r="T6" s="29" t="e">
        <f>AVERAGE(#REF!)</f>
        <v>#REF!</v>
      </c>
      <c r="U6" s="29" t="e">
        <f>AVERAGE(#REF!)</f>
        <v>#REF!</v>
      </c>
      <c r="V6" s="29" t="e">
        <f>AVERAGE(#REF!)</f>
        <v>#REF!</v>
      </c>
      <c r="W6" s="29">
        <f>AVERAGE(SEGUIMIENTO_PERSONAL!J65:BU65)</f>
        <v>0.99182120949329244</v>
      </c>
      <c r="X6" s="634" t="s">
        <v>148</v>
      </c>
      <c r="Y6" s="635"/>
      <c r="Z6" s="635"/>
      <c r="AA6" s="615"/>
      <c r="AB6" s="65"/>
      <c r="AC6" s="65"/>
      <c r="AD6" s="65"/>
      <c r="AE6" s="65"/>
      <c r="AF6" s="65"/>
      <c r="AG6" s="65"/>
      <c r="AH6" s="65"/>
      <c r="AI6" s="65"/>
      <c r="AJ6" s="65"/>
      <c r="AK6" s="65"/>
      <c r="AL6" s="65"/>
      <c r="AM6" s="65"/>
      <c r="AN6" s="65"/>
      <c r="AO6" s="65"/>
      <c r="AP6" s="65"/>
      <c r="AQ6" s="65"/>
      <c r="AR6" s="65"/>
      <c r="AS6" s="65"/>
      <c r="AT6" s="65"/>
      <c r="AU6" s="65"/>
      <c r="AV6" s="65"/>
      <c r="AW6" s="65"/>
    </row>
    <row r="7" spans="2:75" ht="35.450000000000003" customHeight="1" thickBot="1">
      <c r="B7" s="550"/>
      <c r="C7" s="552"/>
      <c r="D7" s="552"/>
      <c r="E7" s="602"/>
      <c r="F7" s="533" t="s">
        <v>154</v>
      </c>
      <c r="G7" s="534"/>
      <c r="H7" s="535"/>
      <c r="I7" s="536" t="s">
        <v>155</v>
      </c>
      <c r="J7" s="537"/>
      <c r="K7" s="538"/>
      <c r="L7" s="534" t="s">
        <v>156</v>
      </c>
      <c r="M7" s="534"/>
      <c r="N7" s="535"/>
      <c r="O7" s="533" t="s">
        <v>157</v>
      </c>
      <c r="P7" s="534"/>
      <c r="Q7" s="535"/>
      <c r="R7" s="615"/>
      <c r="S7" s="45" t="s">
        <v>105</v>
      </c>
      <c r="T7" s="46" t="e">
        <f>AVERAGE(#REF!)</f>
        <v>#REF!</v>
      </c>
      <c r="U7" s="46" t="e">
        <f>AVERAGE(#REF!)</f>
        <v>#REF!</v>
      </c>
      <c r="V7" s="46" t="e">
        <f>AVERAGE(#REF!)</f>
        <v>#REF!</v>
      </c>
      <c r="W7" s="46" t="e">
        <f>AVERAGE(SEGUIMIENTO_PERSONAL!#REF!)</f>
        <v>#REF!</v>
      </c>
      <c r="X7" s="636"/>
      <c r="Y7" s="637"/>
      <c r="Z7" s="637"/>
      <c r="AA7" s="638"/>
      <c r="AB7" s="65"/>
      <c r="AC7" s="65"/>
      <c r="AD7" s="65"/>
      <c r="AE7" s="65"/>
      <c r="AF7" s="65"/>
      <c r="AG7" s="65"/>
      <c r="AH7" s="65"/>
      <c r="AI7" s="65"/>
      <c r="AJ7" s="65"/>
      <c r="AK7" s="65"/>
      <c r="AL7" s="65"/>
      <c r="AM7" s="65"/>
      <c r="AN7" s="65"/>
      <c r="AO7" s="65"/>
      <c r="AP7" s="65"/>
      <c r="AQ7" s="65"/>
      <c r="AR7" s="65"/>
      <c r="AS7" s="65"/>
      <c r="AT7" s="65"/>
      <c r="AU7" s="65"/>
      <c r="AV7" s="65"/>
      <c r="AW7" s="65"/>
    </row>
    <row r="8" spans="2:75" ht="50.45" customHeight="1">
      <c r="B8" s="564" t="s">
        <v>130</v>
      </c>
      <c r="C8" s="561">
        <v>1</v>
      </c>
      <c r="D8" s="577" t="s">
        <v>134</v>
      </c>
      <c r="E8" s="618" t="s">
        <v>106</v>
      </c>
      <c r="F8" s="527">
        <f>+CRONOGRAMA!J38</f>
        <v>1</v>
      </c>
      <c r="G8" s="528"/>
      <c r="H8" s="529"/>
      <c r="I8" s="542">
        <f>CRONOGRAMA!P38</f>
        <v>1</v>
      </c>
      <c r="J8" s="543"/>
      <c r="K8" s="544"/>
      <c r="L8" s="527" t="str">
        <f>CRONOGRAMA!V38</f>
        <v>N,A</v>
      </c>
      <c r="M8" s="528"/>
      <c r="N8" s="529"/>
      <c r="O8" s="527" t="str">
        <f>CRONOGRAMA!AB38</f>
        <v>N,A</v>
      </c>
      <c r="P8" s="528"/>
      <c r="Q8" s="529"/>
      <c r="R8" s="616" t="e">
        <f>#REF!</f>
        <v>#REF!</v>
      </c>
      <c r="S8" s="47"/>
      <c r="T8" s="47"/>
      <c r="U8" s="47"/>
      <c r="V8" s="47"/>
      <c r="W8" s="47"/>
      <c r="X8" s="620"/>
      <c r="Y8" s="621"/>
      <c r="Z8" s="621"/>
      <c r="AA8" s="622"/>
      <c r="AB8" s="11"/>
      <c r="AC8" s="11"/>
      <c r="AD8" s="11"/>
      <c r="AE8" s="11"/>
      <c r="AF8" s="11"/>
      <c r="AG8" s="11"/>
      <c r="AH8" s="11"/>
      <c r="AI8" s="11"/>
      <c r="AJ8" s="11"/>
      <c r="AK8" s="11"/>
      <c r="AL8" s="11"/>
      <c r="AM8" s="11"/>
      <c r="AN8" s="11"/>
      <c r="AO8" s="11"/>
      <c r="AP8" s="11"/>
      <c r="AQ8" s="11"/>
      <c r="AR8" s="11"/>
      <c r="AS8" s="11"/>
      <c r="AT8" s="11"/>
      <c r="AU8" s="11"/>
      <c r="AV8" s="11"/>
      <c r="AW8" s="11"/>
      <c r="BA8" s="598" t="s">
        <v>130</v>
      </c>
      <c r="BB8" s="599"/>
      <c r="BC8" s="600"/>
      <c r="BE8" s="598" t="s">
        <v>146</v>
      </c>
      <c r="BF8" s="599"/>
      <c r="BG8" s="600"/>
      <c r="BI8" s="598" t="s">
        <v>147</v>
      </c>
      <c r="BJ8" s="599"/>
      <c r="BK8" s="600"/>
      <c r="BM8" s="598" t="s">
        <v>138</v>
      </c>
      <c r="BN8" s="599"/>
      <c r="BO8" s="600"/>
      <c r="BQ8" s="598" t="s">
        <v>139</v>
      </c>
      <c r="BR8" s="599"/>
      <c r="BS8" s="600"/>
      <c r="BU8" s="598" t="s">
        <v>140</v>
      </c>
      <c r="BV8" s="599"/>
      <c r="BW8" s="600"/>
    </row>
    <row r="9" spans="2:75" ht="75.599999999999994" customHeight="1" thickBot="1">
      <c r="B9" s="566"/>
      <c r="C9" s="563"/>
      <c r="D9" s="563"/>
      <c r="E9" s="619"/>
      <c r="F9" s="539"/>
      <c r="G9" s="540"/>
      <c r="H9" s="541"/>
      <c r="I9" s="530"/>
      <c r="J9" s="531"/>
      <c r="K9" s="532"/>
      <c r="L9" s="530"/>
      <c r="M9" s="531"/>
      <c r="N9" s="532"/>
      <c r="O9" s="530"/>
      <c r="P9" s="531"/>
      <c r="Q9" s="532"/>
      <c r="R9" s="617"/>
      <c r="T9" s="10"/>
      <c r="U9" s="10"/>
      <c r="V9" s="10"/>
      <c r="W9" s="10"/>
      <c r="X9" s="623"/>
      <c r="Y9" s="624"/>
      <c r="Z9" s="624"/>
      <c r="AA9" s="625"/>
      <c r="AB9" s="11"/>
      <c r="AC9" s="11"/>
      <c r="AD9" s="11"/>
      <c r="AE9" s="11"/>
      <c r="AF9" s="11"/>
      <c r="AG9" s="11"/>
      <c r="AH9" s="11"/>
      <c r="AI9" s="11"/>
      <c r="AJ9" s="11"/>
      <c r="AK9" s="11"/>
      <c r="AL9" s="11"/>
      <c r="AM9" s="11"/>
      <c r="AN9" s="11"/>
      <c r="AO9" s="11"/>
      <c r="AP9" s="11"/>
      <c r="AQ9" s="11"/>
      <c r="AR9" s="11"/>
      <c r="AS9" s="11"/>
      <c r="AT9" s="11"/>
      <c r="AU9" s="11"/>
      <c r="AV9" s="11"/>
      <c r="AW9" s="11"/>
      <c r="BA9" s="32"/>
      <c r="BB9" s="33"/>
      <c r="BC9" s="34"/>
      <c r="BE9" s="32"/>
      <c r="BF9" s="33"/>
      <c r="BG9" s="34"/>
      <c r="BI9" s="32"/>
      <c r="BJ9" s="33"/>
      <c r="BK9" s="34"/>
      <c r="BM9" s="32"/>
      <c r="BN9" s="33"/>
      <c r="BO9" s="34"/>
      <c r="BQ9" s="32"/>
      <c r="BR9" s="33"/>
      <c r="BS9" s="34"/>
      <c r="BU9" s="32"/>
      <c r="BV9" s="33"/>
      <c r="BW9" s="34"/>
    </row>
    <row r="10" spans="2:75" ht="35.450000000000003" customHeight="1">
      <c r="B10" s="564" t="s">
        <v>133</v>
      </c>
      <c r="C10" s="561">
        <v>1</v>
      </c>
      <c r="D10" s="577" t="s">
        <v>135</v>
      </c>
      <c r="E10" s="611" t="s">
        <v>106</v>
      </c>
      <c r="F10" s="527">
        <f>+CRONOGRAMA!J43</f>
        <v>1</v>
      </c>
      <c r="G10" s="528"/>
      <c r="H10" s="529"/>
      <c r="I10" s="527">
        <f>CRONOGRAMA!P43</f>
        <v>1</v>
      </c>
      <c r="J10" s="528"/>
      <c r="K10" s="529"/>
      <c r="L10" s="527">
        <f>CRONOGRAMA!V43</f>
        <v>1</v>
      </c>
      <c r="M10" s="528"/>
      <c r="N10" s="529"/>
      <c r="O10" s="527" t="str">
        <f>CRONOGRAMA!AB43</f>
        <v>N,A</v>
      </c>
      <c r="P10" s="528"/>
      <c r="Q10" s="529"/>
      <c r="R10" s="607" t="e">
        <f>#REF!</f>
        <v>#REF!</v>
      </c>
      <c r="T10" s="10"/>
      <c r="U10" s="10"/>
      <c r="V10" s="10"/>
      <c r="W10" s="10"/>
      <c r="X10" s="620"/>
      <c r="Y10" s="621"/>
      <c r="Z10" s="621"/>
      <c r="AA10" s="622"/>
      <c r="AB10" s="11"/>
      <c r="AC10" s="11"/>
      <c r="AD10" s="11"/>
      <c r="AE10" s="11"/>
      <c r="AF10" s="11"/>
      <c r="AG10" s="11"/>
      <c r="AH10" s="11"/>
      <c r="AI10" s="11"/>
      <c r="AJ10" s="11"/>
      <c r="AK10" s="11"/>
      <c r="AL10" s="11"/>
      <c r="AM10" s="11"/>
      <c r="AN10" s="11"/>
      <c r="AO10" s="11"/>
      <c r="AP10" s="11"/>
      <c r="AQ10" s="11"/>
      <c r="AR10" s="11"/>
      <c r="AS10" s="11"/>
      <c r="AT10" s="11"/>
      <c r="AU10" s="11"/>
      <c r="AV10" s="11"/>
      <c r="AW10" s="11"/>
      <c r="BA10" s="35" t="s">
        <v>141</v>
      </c>
      <c r="BB10" s="36" t="s">
        <v>101</v>
      </c>
      <c r="BC10" s="44" t="s">
        <v>93</v>
      </c>
      <c r="BE10" s="35" t="s">
        <v>141</v>
      </c>
      <c r="BF10" s="36" t="s">
        <v>101</v>
      </c>
      <c r="BG10" s="44" t="s">
        <v>93</v>
      </c>
      <c r="BI10" s="35" t="s">
        <v>141</v>
      </c>
      <c r="BJ10" s="36" t="s">
        <v>101</v>
      </c>
      <c r="BK10" s="44" t="s">
        <v>93</v>
      </c>
      <c r="BM10" s="35" t="s">
        <v>141</v>
      </c>
      <c r="BN10" s="36" t="s">
        <v>101</v>
      </c>
      <c r="BO10" s="44" t="s">
        <v>93</v>
      </c>
      <c r="BQ10" s="35" t="s">
        <v>141</v>
      </c>
      <c r="BR10" s="36" t="s">
        <v>101</v>
      </c>
      <c r="BS10" s="44" t="s">
        <v>93</v>
      </c>
      <c r="BU10" s="35" t="s">
        <v>141</v>
      </c>
      <c r="BV10" s="36" t="s">
        <v>101</v>
      </c>
      <c r="BW10" s="44" t="s">
        <v>93</v>
      </c>
    </row>
    <row r="11" spans="2:75" ht="35.450000000000003" customHeight="1">
      <c r="B11" s="565"/>
      <c r="C11" s="562"/>
      <c r="D11" s="562"/>
      <c r="E11" s="612"/>
      <c r="F11" s="539"/>
      <c r="G11" s="540"/>
      <c r="H11" s="541"/>
      <c r="I11" s="539"/>
      <c r="J11" s="540"/>
      <c r="K11" s="541"/>
      <c r="L11" s="539"/>
      <c r="M11" s="540"/>
      <c r="N11" s="541"/>
      <c r="O11" s="539"/>
      <c r="P11" s="540"/>
      <c r="Q11" s="541"/>
      <c r="R11" s="608"/>
      <c r="T11" s="10"/>
      <c r="U11" s="10"/>
      <c r="V11" s="10"/>
      <c r="W11" s="10"/>
      <c r="X11" s="626"/>
      <c r="Y11" s="597"/>
      <c r="Z11" s="597"/>
      <c r="AA11" s="627"/>
      <c r="AB11" s="11"/>
      <c r="AC11" s="11"/>
      <c r="AD11" s="11"/>
      <c r="AE11" s="11"/>
      <c r="AF11" s="11"/>
      <c r="AG11" s="11"/>
      <c r="AH11" s="11"/>
      <c r="AI11" s="11"/>
      <c r="AJ11" s="11"/>
      <c r="AK11" s="11"/>
      <c r="AL11" s="11"/>
      <c r="AM11" s="11"/>
      <c r="AN11" s="11"/>
      <c r="AO11" s="11"/>
      <c r="AP11" s="11"/>
      <c r="AQ11" s="11"/>
      <c r="AR11" s="11"/>
      <c r="AS11" s="11"/>
      <c r="AT11" s="11"/>
      <c r="AU11" s="11"/>
      <c r="AV11" s="11"/>
      <c r="AW11" s="11"/>
      <c r="BA11" s="35" t="s">
        <v>142</v>
      </c>
      <c r="BB11" s="37">
        <v>1</v>
      </c>
      <c r="BC11" s="38">
        <f>F8</f>
        <v>1</v>
      </c>
      <c r="BE11" s="35" t="s">
        <v>142</v>
      </c>
      <c r="BF11" s="37">
        <v>1</v>
      </c>
      <c r="BG11" s="42">
        <f>F10</f>
        <v>1</v>
      </c>
      <c r="BI11" s="35" t="s">
        <v>142</v>
      </c>
      <c r="BJ11" s="37">
        <v>0.8</v>
      </c>
      <c r="BK11" s="38" t="e">
        <f>INDICADORES!#REF!</f>
        <v>#REF!</v>
      </c>
      <c r="BM11" s="35" t="s">
        <v>142</v>
      </c>
      <c r="BN11" s="37">
        <v>1</v>
      </c>
      <c r="BO11" s="38">
        <f>F15</f>
        <v>1</v>
      </c>
      <c r="BQ11" s="35" t="s">
        <v>142</v>
      </c>
      <c r="BR11" s="37">
        <v>1</v>
      </c>
      <c r="BS11" s="38">
        <f>F19</f>
        <v>1</v>
      </c>
      <c r="BU11" s="35" t="s">
        <v>142</v>
      </c>
      <c r="BV11" s="37">
        <v>1</v>
      </c>
      <c r="BW11" s="38">
        <f>F17</f>
        <v>1</v>
      </c>
    </row>
    <row r="12" spans="2:75" ht="48.2" customHeight="1" thickBot="1">
      <c r="B12" s="566"/>
      <c r="C12" s="563"/>
      <c r="D12" s="563"/>
      <c r="E12" s="613"/>
      <c r="F12" s="539"/>
      <c r="G12" s="540"/>
      <c r="H12" s="541"/>
      <c r="I12" s="530"/>
      <c r="J12" s="531"/>
      <c r="K12" s="532"/>
      <c r="L12" s="530"/>
      <c r="M12" s="531"/>
      <c r="N12" s="532"/>
      <c r="O12" s="530"/>
      <c r="P12" s="531"/>
      <c r="Q12" s="532"/>
      <c r="R12" s="608"/>
      <c r="T12" s="10"/>
      <c r="U12" s="10"/>
      <c r="V12" s="10"/>
      <c r="W12" s="10"/>
      <c r="X12" s="623"/>
      <c r="Y12" s="624"/>
      <c r="Z12" s="624"/>
      <c r="AA12" s="625"/>
      <c r="AB12" s="11"/>
      <c r="AC12" s="11"/>
      <c r="AD12" s="11"/>
      <c r="AE12" s="11"/>
      <c r="AF12" s="11"/>
      <c r="AG12" s="11"/>
      <c r="AH12" s="11"/>
      <c r="AI12" s="11"/>
      <c r="AJ12" s="11"/>
      <c r="AK12" s="11"/>
      <c r="AL12" s="11"/>
      <c r="AM12" s="11"/>
      <c r="AN12" s="11"/>
      <c r="AO12" s="11"/>
      <c r="AP12" s="11"/>
      <c r="AQ12" s="11"/>
      <c r="AR12" s="11"/>
      <c r="AS12" s="11"/>
      <c r="AT12" s="11"/>
      <c r="AU12" s="11"/>
      <c r="AV12" s="11"/>
      <c r="AW12" s="11"/>
      <c r="BA12" s="35" t="s">
        <v>143</v>
      </c>
      <c r="BB12" s="37">
        <v>1</v>
      </c>
      <c r="BC12" s="38">
        <f>I8</f>
        <v>1</v>
      </c>
      <c r="BE12" s="35" t="s">
        <v>143</v>
      </c>
      <c r="BF12" s="37">
        <v>1</v>
      </c>
      <c r="BG12" s="42">
        <f>I10</f>
        <v>1</v>
      </c>
      <c r="BI12" s="35" t="s">
        <v>143</v>
      </c>
      <c r="BJ12" s="37">
        <v>0.8</v>
      </c>
      <c r="BK12" s="38" t="e">
        <f>#REF!</f>
        <v>#REF!</v>
      </c>
      <c r="BM12" s="35" t="s">
        <v>143</v>
      </c>
      <c r="BN12" s="37">
        <v>1</v>
      </c>
      <c r="BO12" s="38">
        <f>INDICADORES!I15</f>
        <v>1</v>
      </c>
      <c r="BQ12" s="35" t="s">
        <v>143</v>
      </c>
      <c r="BR12" s="37">
        <v>1</v>
      </c>
      <c r="BS12" s="38">
        <f>I19</f>
        <v>1</v>
      </c>
      <c r="BU12" s="35" t="s">
        <v>143</v>
      </c>
      <c r="BV12" s="37">
        <v>1</v>
      </c>
      <c r="BW12" s="38">
        <f>I17</f>
        <v>1</v>
      </c>
    </row>
    <row r="13" spans="2:75" ht="50.45" customHeight="1">
      <c r="B13" s="553" t="s">
        <v>147</v>
      </c>
      <c r="C13" s="555">
        <v>0.8</v>
      </c>
      <c r="D13" s="557" t="s">
        <v>136</v>
      </c>
      <c r="E13" s="559" t="s">
        <v>106</v>
      </c>
      <c r="F13" s="527">
        <f>+CRONOGRAMA!J33</f>
        <v>1</v>
      </c>
      <c r="G13" s="528"/>
      <c r="H13" s="529"/>
      <c r="I13" s="527">
        <f>CRONOGRAMA!P33</f>
        <v>1</v>
      </c>
      <c r="J13" s="528"/>
      <c r="K13" s="529"/>
      <c r="L13" s="527">
        <f>CRONOGRAMA!V33</f>
        <v>8.3333333333333329E-2</v>
      </c>
      <c r="M13" s="528"/>
      <c r="N13" s="529"/>
      <c r="O13" s="527" t="str">
        <f>CRONOGRAMA!AB33</f>
        <v>N,A</v>
      </c>
      <c r="P13" s="528"/>
      <c r="Q13" s="529"/>
      <c r="R13" s="578" t="e">
        <f>#REF!</f>
        <v>#REF!</v>
      </c>
      <c r="T13" s="10"/>
      <c r="U13" s="10"/>
      <c r="V13" s="10"/>
      <c r="W13" s="10"/>
      <c r="X13" s="620"/>
      <c r="Y13" s="621"/>
      <c r="Z13" s="621"/>
      <c r="AA13" s="622"/>
      <c r="AB13" s="11"/>
      <c r="AC13" s="11"/>
      <c r="AD13" s="11"/>
      <c r="AE13" s="11"/>
      <c r="AF13" s="11"/>
      <c r="AG13" s="11"/>
      <c r="AH13" s="11"/>
      <c r="AI13" s="11"/>
      <c r="AJ13" s="11"/>
      <c r="AK13" s="11"/>
      <c r="AL13" s="11"/>
      <c r="AM13" s="11"/>
      <c r="AN13" s="11"/>
      <c r="AO13" s="11"/>
      <c r="AP13" s="11"/>
      <c r="AQ13" s="11"/>
      <c r="AR13" s="11"/>
      <c r="AS13" s="11"/>
      <c r="AT13" s="11"/>
      <c r="AU13" s="11"/>
      <c r="AV13" s="11"/>
      <c r="AW13" s="11"/>
      <c r="BA13" s="35" t="s">
        <v>144</v>
      </c>
      <c r="BB13" s="37">
        <v>1</v>
      </c>
      <c r="BC13" s="38" t="str">
        <f>L8</f>
        <v>N,A</v>
      </c>
      <c r="BE13" s="35" t="s">
        <v>144</v>
      </c>
      <c r="BF13" s="37">
        <v>1</v>
      </c>
      <c r="BG13" s="42">
        <f>L10</f>
        <v>1</v>
      </c>
      <c r="BI13" s="35" t="s">
        <v>144</v>
      </c>
      <c r="BJ13" s="37">
        <v>0.8</v>
      </c>
      <c r="BK13" s="38" t="e">
        <f>#REF!</f>
        <v>#REF!</v>
      </c>
      <c r="BM13" s="35" t="s">
        <v>144</v>
      </c>
      <c r="BN13" s="37">
        <v>1</v>
      </c>
      <c r="BO13" s="38" t="str">
        <f>L15</f>
        <v>Sin Actividad programada</v>
      </c>
      <c r="BQ13" s="35" t="s">
        <v>144</v>
      </c>
      <c r="BR13" s="37">
        <v>1</v>
      </c>
      <c r="BS13" s="50">
        <f>L19</f>
        <v>1</v>
      </c>
      <c r="BU13" s="35" t="s">
        <v>144</v>
      </c>
      <c r="BV13" s="37">
        <v>1</v>
      </c>
      <c r="BW13" s="38">
        <f>L17</f>
        <v>0.5</v>
      </c>
    </row>
    <row r="14" spans="2:75" ht="84.6" customHeight="1" thickBot="1">
      <c r="B14" s="554"/>
      <c r="C14" s="556"/>
      <c r="D14" s="558"/>
      <c r="E14" s="560"/>
      <c r="F14" s="530"/>
      <c r="G14" s="531"/>
      <c r="H14" s="532"/>
      <c r="I14" s="530"/>
      <c r="J14" s="531"/>
      <c r="K14" s="532"/>
      <c r="L14" s="530"/>
      <c r="M14" s="531"/>
      <c r="N14" s="532"/>
      <c r="O14" s="530"/>
      <c r="P14" s="531"/>
      <c r="Q14" s="532"/>
      <c r="R14" s="579"/>
      <c r="S14" s="48"/>
      <c r="T14" s="49"/>
      <c r="U14" s="49"/>
      <c r="V14" s="49"/>
      <c r="W14" s="49"/>
      <c r="X14" s="623"/>
      <c r="Y14" s="624"/>
      <c r="Z14" s="624"/>
      <c r="AA14" s="625"/>
      <c r="AB14" s="11"/>
      <c r="AC14" s="11"/>
      <c r="AD14" s="11"/>
      <c r="AE14" s="11"/>
      <c r="AF14" s="11"/>
      <c r="AG14" s="11"/>
      <c r="AH14" s="11"/>
      <c r="AI14" s="11"/>
      <c r="AJ14" s="11"/>
      <c r="AK14" s="11"/>
      <c r="AL14" s="11"/>
      <c r="AM14" s="11"/>
      <c r="AN14" s="11"/>
      <c r="AO14" s="11"/>
      <c r="AP14" s="11"/>
      <c r="AQ14" s="11"/>
      <c r="AR14" s="11"/>
      <c r="AS14" s="11"/>
      <c r="AT14" s="11"/>
      <c r="AU14" s="11"/>
      <c r="AV14" s="11"/>
      <c r="AW14" s="11"/>
      <c r="BA14" s="39" t="s">
        <v>145</v>
      </c>
      <c r="BB14" s="40">
        <v>1</v>
      </c>
      <c r="BC14" s="41" t="str">
        <f>O8</f>
        <v>N,A</v>
      </c>
      <c r="BE14" s="39" t="s">
        <v>145</v>
      </c>
      <c r="BF14" s="40">
        <v>1</v>
      </c>
      <c r="BG14" s="43" t="str">
        <f>O10</f>
        <v>N,A</v>
      </c>
      <c r="BI14" s="39" t="s">
        <v>145</v>
      </c>
      <c r="BJ14" s="40">
        <v>0.8</v>
      </c>
      <c r="BK14" s="41" t="e">
        <f>#REF!</f>
        <v>#REF!</v>
      </c>
      <c r="BM14" s="39" t="s">
        <v>145</v>
      </c>
      <c r="BN14" s="37">
        <v>1</v>
      </c>
      <c r="BO14" s="41" t="str">
        <f>O15</f>
        <v>Sin Actividad programada</v>
      </c>
      <c r="BQ14" s="39" t="s">
        <v>145</v>
      </c>
      <c r="BR14" s="37">
        <v>1</v>
      </c>
      <c r="BS14" s="51" t="str">
        <f>O19</f>
        <v>Sin Actividad programada</v>
      </c>
      <c r="BU14" s="39" t="s">
        <v>145</v>
      </c>
      <c r="BV14" s="37">
        <v>1</v>
      </c>
      <c r="BW14" s="41" t="str">
        <f>O17</f>
        <v>Sin Actividad programada</v>
      </c>
    </row>
    <row r="15" spans="2:75" ht="50.45" customHeight="1">
      <c r="B15" s="567" t="s">
        <v>138</v>
      </c>
      <c r="C15" s="569">
        <v>1</v>
      </c>
      <c r="D15" s="571" t="s">
        <v>107</v>
      </c>
      <c r="E15" s="573" t="s">
        <v>106</v>
      </c>
      <c r="F15" s="545">
        <f>IFERROR(AVERAGE(CRONOGRAMA!AH10,CRONOGRAMA!AH14),"Sin Actividad programada")</f>
        <v>1</v>
      </c>
      <c r="G15" s="545"/>
      <c r="H15" s="545"/>
      <c r="I15" s="545">
        <f>IFERROR(AVERAGE(CRONOGRAMA!AI10,CRONOGRAMA!AI14),"Sin Actividad programada")</f>
        <v>1</v>
      </c>
      <c r="J15" s="545"/>
      <c r="K15" s="545"/>
      <c r="L15" s="545" t="str">
        <f>IFERROR(AVERAGE(CRONOGRAMA!AJ10,CRONOGRAMA!AJ14),"Sin Actividad programada")</f>
        <v>Sin Actividad programada</v>
      </c>
      <c r="M15" s="545"/>
      <c r="N15" s="545"/>
      <c r="O15" s="545" t="str">
        <f>IFERROR(AVERAGE(CRONOGRAMA!AK10,CRONOGRAMA!AK14),"Sin Actividad programada")</f>
        <v>Sin Actividad programada</v>
      </c>
      <c r="P15" s="545"/>
      <c r="Q15" s="545"/>
      <c r="R15" s="609">
        <f>IFERROR(AVERAGE(F15:Q16),"Sin actividad Programada")</f>
        <v>1</v>
      </c>
      <c r="X15" s="626"/>
      <c r="Y15" s="597"/>
      <c r="Z15" s="597"/>
      <c r="AA15" s="627"/>
      <c r="AB15" s="11"/>
      <c r="AC15" s="11"/>
      <c r="AD15" s="11"/>
      <c r="AE15" s="11"/>
      <c r="AF15" s="11"/>
      <c r="AG15" s="11"/>
      <c r="AH15" s="11"/>
      <c r="AI15" s="11"/>
      <c r="AJ15" s="11"/>
      <c r="AK15" s="11"/>
      <c r="AL15" s="11"/>
      <c r="AM15" s="11"/>
      <c r="AN15" s="11"/>
      <c r="AO15" s="11"/>
      <c r="AP15" s="11"/>
      <c r="AQ15" s="11"/>
      <c r="AR15" s="11"/>
      <c r="AS15" s="11"/>
      <c r="AT15" s="11"/>
      <c r="AU15" s="11"/>
      <c r="AV15" s="11"/>
      <c r="AW15" s="11"/>
    </row>
    <row r="16" spans="2:75" ht="75.599999999999994" customHeight="1" thickBot="1">
      <c r="B16" s="568"/>
      <c r="C16" s="570"/>
      <c r="D16" s="572"/>
      <c r="E16" s="574"/>
      <c r="F16" s="546"/>
      <c r="G16" s="546"/>
      <c r="H16" s="546"/>
      <c r="I16" s="546"/>
      <c r="J16" s="546"/>
      <c r="K16" s="546"/>
      <c r="L16" s="546"/>
      <c r="M16" s="546"/>
      <c r="N16" s="546"/>
      <c r="O16" s="546"/>
      <c r="P16" s="546"/>
      <c r="Q16" s="546"/>
      <c r="R16" s="610"/>
      <c r="X16" s="623"/>
      <c r="Y16" s="624"/>
      <c r="Z16" s="624"/>
      <c r="AA16" s="625"/>
      <c r="AB16" s="11"/>
      <c r="AC16" s="11"/>
      <c r="AD16" s="11"/>
      <c r="AE16" s="11"/>
      <c r="AF16" s="11"/>
      <c r="AG16" s="11"/>
      <c r="AH16" s="11"/>
      <c r="AI16" s="11"/>
      <c r="AJ16" s="11"/>
      <c r="AK16" s="11"/>
      <c r="AL16" s="11"/>
      <c r="AM16" s="11"/>
      <c r="AN16" s="11"/>
      <c r="AO16" s="11"/>
      <c r="AP16" s="11"/>
      <c r="AQ16" s="11"/>
      <c r="AR16" s="11"/>
      <c r="AS16" s="11"/>
      <c r="AT16" s="11"/>
      <c r="AU16" s="11"/>
      <c r="AV16" s="11"/>
      <c r="AW16" s="11"/>
    </row>
    <row r="17" spans="2:52" ht="51" customHeight="1">
      <c r="B17" s="580" t="s">
        <v>140</v>
      </c>
      <c r="C17" s="575">
        <v>0.8</v>
      </c>
      <c r="D17" s="576" t="s">
        <v>107</v>
      </c>
      <c r="E17" s="581" t="s">
        <v>106</v>
      </c>
      <c r="F17" s="527">
        <f>IFERROR(AVERAGE(CRONOGRAMA!AH10:AH25),"Sin Actividad programada")</f>
        <v>1</v>
      </c>
      <c r="G17" s="528"/>
      <c r="H17" s="529"/>
      <c r="I17" s="527">
        <f>IFERROR(AVERAGE(CRONOGRAMA!AI10:AI25),"Sin Actividad programada")</f>
        <v>1</v>
      </c>
      <c r="J17" s="528"/>
      <c r="K17" s="529"/>
      <c r="L17" s="527">
        <f>IFERROR(AVERAGE(CRONOGRAMA!AJ10:AJ25),"Sin Actividad programada")</f>
        <v>0.5</v>
      </c>
      <c r="M17" s="528"/>
      <c r="N17" s="529"/>
      <c r="O17" s="527" t="str">
        <f>IFERROR(AVERAGE(CRONOGRAMA!AK10:AK25),"Sin Actividad programada")</f>
        <v>Sin Actividad programada</v>
      </c>
      <c r="P17" s="528"/>
      <c r="Q17" s="529"/>
      <c r="R17" s="640">
        <f>IFERROR(AVERAGE(F17:Q18),"Sin actividad Programada")</f>
        <v>0.83333333333333337</v>
      </c>
      <c r="X17" s="620"/>
      <c r="Y17" s="621"/>
      <c r="Z17" s="621"/>
      <c r="AA17" s="622"/>
      <c r="AB17" s="11"/>
      <c r="AC17" s="11"/>
      <c r="AD17" s="11"/>
      <c r="AE17" s="11"/>
      <c r="AF17" s="11"/>
      <c r="AG17" s="11"/>
      <c r="AH17" s="11"/>
      <c r="AI17" s="11"/>
      <c r="AJ17" s="11"/>
      <c r="AK17" s="11"/>
      <c r="AL17" s="11"/>
      <c r="AM17" s="11"/>
      <c r="AN17" s="11"/>
      <c r="AO17" s="11"/>
      <c r="AP17" s="11"/>
      <c r="AQ17" s="11"/>
      <c r="AR17" s="11"/>
      <c r="AS17" s="11"/>
      <c r="AT17" s="11"/>
      <c r="AU17" s="11"/>
      <c r="AV17" s="11"/>
      <c r="AW17" s="11"/>
    </row>
    <row r="18" spans="2:52" ht="75.599999999999994" customHeight="1" thickBot="1">
      <c r="B18" s="568"/>
      <c r="C18" s="570"/>
      <c r="D18" s="572"/>
      <c r="E18" s="574"/>
      <c r="F18" s="530"/>
      <c r="G18" s="531"/>
      <c r="H18" s="532"/>
      <c r="I18" s="530"/>
      <c r="J18" s="531"/>
      <c r="K18" s="532"/>
      <c r="L18" s="530"/>
      <c r="M18" s="531"/>
      <c r="N18" s="532"/>
      <c r="O18" s="530"/>
      <c r="P18" s="531"/>
      <c r="Q18" s="532"/>
      <c r="R18" s="641"/>
      <c r="X18" s="623"/>
      <c r="Y18" s="624"/>
      <c r="Z18" s="624"/>
      <c r="AA18" s="625"/>
      <c r="AB18" s="11"/>
      <c r="AC18" s="11"/>
      <c r="AD18" s="11"/>
      <c r="AE18" s="11"/>
      <c r="AF18" s="11"/>
      <c r="AG18" s="11"/>
      <c r="AH18" s="11"/>
      <c r="AI18" s="11"/>
      <c r="AJ18" s="11"/>
      <c r="AK18" s="11"/>
      <c r="AL18" s="11"/>
      <c r="AM18" s="11"/>
      <c r="AN18" s="11"/>
      <c r="AO18" s="11"/>
      <c r="AP18" s="11"/>
      <c r="AQ18" s="11"/>
      <c r="AR18" s="11"/>
      <c r="AS18" s="11"/>
      <c r="AT18" s="11"/>
      <c r="AU18" s="11"/>
      <c r="AV18" s="11"/>
      <c r="AW18" s="11"/>
    </row>
    <row r="19" spans="2:52" ht="51" customHeight="1">
      <c r="B19" s="580" t="s">
        <v>139</v>
      </c>
      <c r="C19" s="575">
        <v>1</v>
      </c>
      <c r="D19" s="576" t="s">
        <v>107</v>
      </c>
      <c r="E19" s="581" t="s">
        <v>106</v>
      </c>
      <c r="F19" s="545">
        <f>IFERROR(AVERAGE(CRONOGRAMA!AH20:AH25),"Sin Actividad programada")</f>
        <v>1</v>
      </c>
      <c r="G19" s="545"/>
      <c r="H19" s="545"/>
      <c r="I19" s="545">
        <f>IFERROR(AVERAGE(CRONOGRAMA!AI20:AI25),"Sin Actividad programada")</f>
        <v>1</v>
      </c>
      <c r="J19" s="545"/>
      <c r="K19" s="545"/>
      <c r="L19" s="545">
        <f>IFERROR(AVERAGE(CRONOGRAMA!AJ20:AJ25),"Sin Actividad programada")</f>
        <v>1</v>
      </c>
      <c r="M19" s="545"/>
      <c r="N19" s="545"/>
      <c r="O19" s="545" t="str">
        <f>IFERROR(AVERAGE(CRONOGRAMA!AK20:AK25),"Sin Actividad programada")</f>
        <v>Sin Actividad programada</v>
      </c>
      <c r="P19" s="545"/>
      <c r="Q19" s="545"/>
      <c r="R19" s="547">
        <f>AVERAGE(F19:Q20)</f>
        <v>1</v>
      </c>
      <c r="X19" s="620"/>
      <c r="Y19" s="621"/>
      <c r="Z19" s="621"/>
      <c r="AA19" s="622"/>
      <c r="AB19" s="11"/>
      <c r="AC19" s="11"/>
      <c r="AD19" s="11"/>
      <c r="AE19" s="11"/>
      <c r="AF19" s="11"/>
      <c r="AG19" s="11"/>
      <c r="AH19" s="11"/>
      <c r="AI19" s="11"/>
      <c r="AJ19" s="11"/>
      <c r="AK19" s="11"/>
      <c r="AL19" s="11"/>
      <c r="AM19" s="11"/>
      <c r="AN19" s="11"/>
      <c r="AO19" s="11"/>
      <c r="AP19" s="11"/>
      <c r="AQ19" s="11"/>
      <c r="AR19" s="11"/>
      <c r="AS19" s="11"/>
      <c r="AT19" s="11"/>
      <c r="AU19" s="11"/>
      <c r="AV19" s="11"/>
      <c r="AW19" s="11"/>
    </row>
    <row r="20" spans="2:52" ht="75.599999999999994" customHeight="1" thickBot="1">
      <c r="B20" s="568"/>
      <c r="C20" s="570"/>
      <c r="D20" s="572"/>
      <c r="E20" s="574"/>
      <c r="F20" s="639"/>
      <c r="G20" s="639"/>
      <c r="H20" s="639"/>
      <c r="I20" s="639"/>
      <c r="J20" s="639"/>
      <c r="K20" s="639"/>
      <c r="L20" s="639"/>
      <c r="M20" s="639"/>
      <c r="N20" s="639"/>
      <c r="O20" s="639"/>
      <c r="P20" s="639"/>
      <c r="Q20" s="639"/>
      <c r="R20" s="548"/>
      <c r="X20" s="626"/>
      <c r="Y20" s="597"/>
      <c r="Z20" s="597"/>
      <c r="AA20" s="627"/>
      <c r="AB20" s="11"/>
      <c r="AC20" s="11"/>
      <c r="AD20" s="11"/>
      <c r="AE20" s="11"/>
      <c r="AF20" s="11"/>
      <c r="AG20" s="11"/>
      <c r="AH20" s="11"/>
      <c r="AI20" s="11"/>
      <c r="AJ20" s="11"/>
      <c r="AK20" s="11"/>
      <c r="AL20" s="11"/>
      <c r="AM20" s="11"/>
      <c r="AN20" s="11"/>
      <c r="AO20" s="11"/>
      <c r="AP20" s="11"/>
      <c r="AQ20" s="11"/>
      <c r="AR20" s="11"/>
      <c r="AS20" s="11"/>
      <c r="AT20" s="11"/>
      <c r="AU20" s="11"/>
      <c r="AV20" s="11"/>
      <c r="AW20" s="11"/>
    </row>
    <row r="21" spans="2:52" ht="64.900000000000006" customHeight="1" thickBot="1">
      <c r="B21" s="107" t="s">
        <v>104</v>
      </c>
      <c r="C21" s="108">
        <v>0.8</v>
      </c>
      <c r="D21" s="109" t="s">
        <v>109</v>
      </c>
      <c r="E21" s="111" t="s">
        <v>106</v>
      </c>
      <c r="F21" s="521">
        <f>AVERAGE(SEGUIMIENTO_PERSONAL!J65:BU65)</f>
        <v>0.99182120949329244</v>
      </c>
      <c r="G21" s="522"/>
      <c r="H21" s="522"/>
      <c r="I21" s="522"/>
      <c r="J21" s="522"/>
      <c r="K21" s="522"/>
      <c r="L21" s="522"/>
      <c r="M21" s="522"/>
      <c r="N21" s="522"/>
      <c r="O21" s="522"/>
      <c r="P21" s="522"/>
      <c r="Q21" s="522"/>
      <c r="R21" s="522"/>
      <c r="S21" s="522"/>
      <c r="T21" s="522"/>
      <c r="U21" s="522"/>
      <c r="V21" s="522"/>
      <c r="W21" s="522"/>
      <c r="X21" s="522"/>
      <c r="Y21" s="522"/>
      <c r="Z21" s="522"/>
      <c r="AA21" s="523"/>
    </row>
    <row r="22" spans="2:52" ht="64.900000000000006" customHeight="1" thickBot="1">
      <c r="B22" s="105" t="s">
        <v>105</v>
      </c>
      <c r="C22" s="106">
        <v>0.8</v>
      </c>
      <c r="D22" s="104" t="s">
        <v>108</v>
      </c>
      <c r="E22" s="110" t="s">
        <v>106</v>
      </c>
      <c r="F22" s="521">
        <f>AVERAGE(SEGUIMIENTO_PERSONAL!J66:BU66)</f>
        <v>0.99679487179487181</v>
      </c>
      <c r="G22" s="522"/>
      <c r="H22" s="522"/>
      <c r="I22" s="522"/>
      <c r="J22" s="522"/>
      <c r="K22" s="522"/>
      <c r="L22" s="522"/>
      <c r="M22" s="522"/>
      <c r="N22" s="522"/>
      <c r="O22" s="522"/>
      <c r="P22" s="522"/>
      <c r="Q22" s="522"/>
      <c r="R22" s="522"/>
      <c r="S22" s="522"/>
      <c r="T22" s="522"/>
      <c r="U22" s="522"/>
      <c r="V22" s="522"/>
      <c r="W22" s="522"/>
      <c r="X22" s="522"/>
      <c r="Y22" s="522"/>
      <c r="Z22" s="522"/>
      <c r="AA22" s="523"/>
    </row>
    <row r="23" spans="2:52" ht="15" thickBot="1">
      <c r="F23" s="597"/>
      <c r="G23" s="597"/>
      <c r="H23" s="597"/>
      <c r="I23" s="597"/>
      <c r="J23" s="597"/>
      <c r="K23" s="597"/>
      <c r="L23" s="597"/>
      <c r="M23" s="597"/>
      <c r="N23" s="597"/>
      <c r="O23" s="597"/>
      <c r="P23" s="597"/>
      <c r="Q23" s="597"/>
    </row>
    <row r="24" spans="2:52" s="11" customFormat="1" ht="21.75" customHeight="1">
      <c r="B24" s="591" t="s">
        <v>110</v>
      </c>
      <c r="C24" s="592"/>
      <c r="D24" s="592" t="s">
        <v>111</v>
      </c>
      <c r="E24" s="592"/>
      <c r="F24" s="592"/>
      <c r="G24" s="592"/>
      <c r="H24" s="592"/>
      <c r="I24" s="592"/>
      <c r="J24" s="592"/>
      <c r="K24" s="592"/>
      <c r="L24" s="592"/>
      <c r="M24" s="592"/>
      <c r="N24" s="592"/>
      <c r="O24" s="592"/>
      <c r="P24" s="592"/>
      <c r="Q24" s="595"/>
      <c r="R24" s="12"/>
      <c r="S24" s="12"/>
      <c r="T24" s="26"/>
      <c r="U24" s="26"/>
      <c r="V24" s="26"/>
      <c r="W24" s="26"/>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row>
    <row r="25" spans="2:52" s="11" customFormat="1" ht="27" customHeight="1">
      <c r="B25" s="593"/>
      <c r="C25" s="594"/>
      <c r="D25" s="103" t="s">
        <v>112</v>
      </c>
      <c r="E25" s="594" t="s">
        <v>20</v>
      </c>
      <c r="F25" s="594"/>
      <c r="G25" s="594" t="s">
        <v>113</v>
      </c>
      <c r="H25" s="594"/>
      <c r="I25" s="594"/>
      <c r="J25" s="594" t="s">
        <v>114</v>
      </c>
      <c r="K25" s="594"/>
      <c r="L25" s="594"/>
      <c r="M25" s="594"/>
      <c r="N25" s="594"/>
      <c r="O25" s="594"/>
      <c r="P25" s="594"/>
      <c r="Q25" s="596"/>
      <c r="R25" s="12"/>
      <c r="S25" s="12"/>
      <c r="T25" s="26"/>
      <c r="U25" s="26"/>
      <c r="V25" s="26"/>
      <c r="W25" s="26"/>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row>
    <row r="26" spans="2:52" ht="281.85000000000002" customHeight="1">
      <c r="B26" s="584" t="s">
        <v>397</v>
      </c>
      <c r="C26" s="585"/>
      <c r="D26" s="80" t="s">
        <v>30</v>
      </c>
      <c r="E26" s="586" t="s">
        <v>30</v>
      </c>
      <c r="F26" s="586"/>
      <c r="G26" s="586" t="s">
        <v>30</v>
      </c>
      <c r="H26" s="586"/>
      <c r="I26" s="586"/>
      <c r="J26" s="586" t="s">
        <v>30</v>
      </c>
      <c r="K26" s="586"/>
      <c r="L26" s="586"/>
      <c r="M26" s="586"/>
      <c r="N26" s="586"/>
      <c r="O26" s="586"/>
      <c r="P26" s="586"/>
      <c r="Q26" s="587"/>
      <c r="R26" s="14"/>
      <c r="S26" s="14"/>
      <c r="T26" s="27"/>
      <c r="U26" s="27"/>
      <c r="V26" s="28"/>
      <c r="W26" s="27"/>
      <c r="X26" s="14"/>
      <c r="Y26" s="14"/>
      <c r="Z26" s="14"/>
      <c r="AA26" s="7"/>
      <c r="AB26" s="7"/>
      <c r="AC26" s="7"/>
      <c r="AD26" s="7"/>
      <c r="AE26" s="7"/>
      <c r="AF26" s="7"/>
      <c r="AG26" s="7"/>
      <c r="AH26" s="7"/>
      <c r="AI26" s="7"/>
      <c r="AJ26" s="7"/>
      <c r="AK26" s="7"/>
      <c r="AL26" s="7"/>
      <c r="AM26" s="7"/>
      <c r="AN26" s="7"/>
      <c r="AO26" s="7"/>
      <c r="AP26" s="7"/>
      <c r="AQ26" s="7"/>
      <c r="AR26" s="7"/>
      <c r="AS26" s="7"/>
      <c r="AT26" s="7"/>
      <c r="AU26" s="7"/>
      <c r="AV26" s="7"/>
      <c r="AW26" s="7"/>
      <c r="AX26" s="7"/>
      <c r="AY26" s="14"/>
      <c r="AZ26" s="14"/>
    </row>
    <row r="27" spans="2:52" ht="281.25" customHeight="1">
      <c r="B27" s="584" t="s">
        <v>398</v>
      </c>
      <c r="C27" s="585"/>
      <c r="D27" s="80" t="s">
        <v>30</v>
      </c>
      <c r="E27" s="586" t="s">
        <v>30</v>
      </c>
      <c r="F27" s="586"/>
      <c r="G27" s="586" t="s">
        <v>30</v>
      </c>
      <c r="H27" s="586"/>
      <c r="I27" s="586"/>
      <c r="J27" s="586" t="s">
        <v>30</v>
      </c>
      <c r="K27" s="586"/>
      <c r="L27" s="586"/>
      <c r="M27" s="586"/>
      <c r="N27" s="586"/>
      <c r="O27" s="586"/>
      <c r="P27" s="586"/>
      <c r="Q27" s="587"/>
      <c r="R27" s="14"/>
      <c r="S27" s="14"/>
      <c r="T27" s="27"/>
      <c r="U27" s="27"/>
      <c r="V27" s="28"/>
      <c r="W27" s="27"/>
      <c r="X27" s="14"/>
      <c r="Y27" s="14"/>
      <c r="Z27" s="14"/>
      <c r="AA27" s="7"/>
      <c r="AB27" s="7"/>
      <c r="AC27" s="7"/>
      <c r="AD27" s="7"/>
      <c r="AE27" s="7"/>
      <c r="AF27" s="7"/>
      <c r="AG27" s="7"/>
      <c r="AH27" s="7"/>
      <c r="AI27" s="7"/>
      <c r="AJ27" s="7"/>
      <c r="AK27" s="7"/>
      <c r="AL27" s="7"/>
      <c r="AM27" s="7"/>
      <c r="AN27" s="7"/>
      <c r="AO27" s="7"/>
      <c r="AP27" s="7"/>
      <c r="AQ27" s="7"/>
      <c r="AR27" s="7"/>
      <c r="AS27" s="7"/>
      <c r="AT27" s="7"/>
      <c r="AU27" s="7"/>
      <c r="AV27" s="7"/>
      <c r="AW27" s="7"/>
      <c r="AX27" s="7"/>
      <c r="AY27" s="14"/>
      <c r="AZ27" s="14"/>
    </row>
    <row r="28" spans="2:52" ht="166.7" customHeight="1">
      <c r="B28" s="584" t="s">
        <v>183</v>
      </c>
      <c r="C28" s="585"/>
      <c r="D28" s="13"/>
      <c r="E28" s="588"/>
      <c r="F28" s="588"/>
      <c r="G28" s="589"/>
      <c r="H28" s="588"/>
      <c r="I28" s="588"/>
      <c r="J28" s="588"/>
      <c r="K28" s="588"/>
      <c r="L28" s="588"/>
      <c r="M28" s="588"/>
      <c r="N28" s="588"/>
      <c r="O28" s="588"/>
      <c r="P28" s="588"/>
      <c r="Q28" s="590"/>
      <c r="R28" s="14"/>
      <c r="S28" s="14"/>
      <c r="T28" s="27"/>
      <c r="U28" s="27"/>
      <c r="V28" s="28"/>
      <c r="W28" s="27"/>
      <c r="X28" s="14"/>
      <c r="Y28" s="14"/>
      <c r="Z28" s="14"/>
      <c r="AA28" s="7"/>
      <c r="AB28" s="7"/>
      <c r="AC28" s="7"/>
      <c r="AD28" s="7"/>
      <c r="AE28" s="7"/>
      <c r="AF28" s="7"/>
      <c r="AG28" s="7"/>
      <c r="AH28" s="7"/>
      <c r="AI28" s="7"/>
      <c r="AJ28" s="7"/>
      <c r="AK28" s="7"/>
      <c r="AL28" s="7"/>
      <c r="AM28" s="7"/>
      <c r="AN28" s="7"/>
      <c r="AO28" s="7"/>
      <c r="AP28" s="7"/>
      <c r="AQ28" s="7"/>
      <c r="AR28" s="7"/>
      <c r="AS28" s="7"/>
      <c r="AT28" s="7"/>
      <c r="AU28" s="7"/>
      <c r="AV28" s="7"/>
      <c r="AW28" s="7"/>
      <c r="AX28" s="7"/>
      <c r="AY28" s="14"/>
      <c r="AZ28" s="14"/>
    </row>
    <row r="29" spans="2:52" ht="164.25" customHeight="1" thickBot="1">
      <c r="B29" s="584" t="s">
        <v>184</v>
      </c>
      <c r="C29" s="585"/>
      <c r="D29" s="30"/>
      <c r="E29" s="582"/>
      <c r="F29" s="582"/>
      <c r="G29" s="582"/>
      <c r="H29" s="582"/>
      <c r="I29" s="582"/>
      <c r="J29" s="582"/>
      <c r="K29" s="582"/>
      <c r="L29" s="582"/>
      <c r="M29" s="582"/>
      <c r="N29" s="582"/>
      <c r="O29" s="582"/>
      <c r="P29" s="582"/>
      <c r="Q29" s="583"/>
      <c r="R29" s="14"/>
      <c r="S29" s="14"/>
      <c r="T29" s="27"/>
      <c r="U29" s="27"/>
      <c r="V29" s="28"/>
      <c r="W29" s="27"/>
      <c r="X29" s="14"/>
      <c r="Y29" s="14"/>
      <c r="Z29" s="14"/>
      <c r="AA29" s="7"/>
      <c r="AB29" s="7"/>
      <c r="AC29" s="7"/>
      <c r="AD29" s="7"/>
      <c r="AE29" s="7"/>
      <c r="AF29" s="7"/>
      <c r="AG29" s="7"/>
      <c r="AH29" s="7"/>
      <c r="AI29" s="7"/>
      <c r="AJ29" s="7"/>
      <c r="AK29" s="7"/>
      <c r="AL29" s="7"/>
      <c r="AM29" s="7"/>
      <c r="AN29" s="7"/>
      <c r="AO29" s="7"/>
      <c r="AP29" s="7"/>
      <c r="AQ29" s="7"/>
      <c r="AR29" s="7"/>
      <c r="AS29" s="7"/>
      <c r="AT29" s="7"/>
      <c r="AU29" s="7"/>
      <c r="AV29" s="7"/>
      <c r="AW29" s="7"/>
      <c r="AX29" s="7"/>
      <c r="AY29" s="14"/>
      <c r="AZ29" s="14"/>
    </row>
  </sheetData>
  <mergeCells count="107">
    <mergeCell ref="BU8:BW8"/>
    <mergeCell ref="D1:AA1"/>
    <mergeCell ref="X17:AA18"/>
    <mergeCell ref="X19:AA20"/>
    <mergeCell ref="BM8:BO8"/>
    <mergeCell ref="X10:AA12"/>
    <mergeCell ref="X13:AA14"/>
    <mergeCell ref="X15:AA16"/>
    <mergeCell ref="B4:AA4"/>
    <mergeCell ref="B5:AA5"/>
    <mergeCell ref="X6:AA7"/>
    <mergeCell ref="BA8:BC8"/>
    <mergeCell ref="BE8:BG8"/>
    <mergeCell ref="BI8:BK8"/>
    <mergeCell ref="X8:AA9"/>
    <mergeCell ref="F19:H20"/>
    <mergeCell ref="I19:K20"/>
    <mergeCell ref="L19:N20"/>
    <mergeCell ref="O19:Q20"/>
    <mergeCell ref="R17:R18"/>
    <mergeCell ref="B8:B9"/>
    <mergeCell ref="C8:C9"/>
    <mergeCell ref="E17:E18"/>
    <mergeCell ref="B17:B18"/>
    <mergeCell ref="BQ8:BS8"/>
    <mergeCell ref="D6:D7"/>
    <mergeCell ref="E6:E7"/>
    <mergeCell ref="F6:Q6"/>
    <mergeCell ref="R10:R12"/>
    <mergeCell ref="R15:R16"/>
    <mergeCell ref="D10:D12"/>
    <mergeCell ref="E10:E12"/>
    <mergeCell ref="R6:R7"/>
    <mergeCell ref="R8:R9"/>
    <mergeCell ref="E8:E9"/>
    <mergeCell ref="G29:I29"/>
    <mergeCell ref="I17:K18"/>
    <mergeCell ref="J29:Q29"/>
    <mergeCell ref="B26:C26"/>
    <mergeCell ref="E26:F26"/>
    <mergeCell ref="G26:I26"/>
    <mergeCell ref="J26:Q26"/>
    <mergeCell ref="B27:C27"/>
    <mergeCell ref="E27:F27"/>
    <mergeCell ref="G27:I27"/>
    <mergeCell ref="J27:Q27"/>
    <mergeCell ref="B28:C28"/>
    <mergeCell ref="E28:F28"/>
    <mergeCell ref="G28:I28"/>
    <mergeCell ref="J28:Q28"/>
    <mergeCell ref="B29:C29"/>
    <mergeCell ref="E29:F29"/>
    <mergeCell ref="L17:N18"/>
    <mergeCell ref="B24:C25"/>
    <mergeCell ref="D24:Q24"/>
    <mergeCell ref="E25:F25"/>
    <mergeCell ref="G25:I25"/>
    <mergeCell ref="J25:Q25"/>
    <mergeCell ref="F23:Q23"/>
    <mergeCell ref="R19:R20"/>
    <mergeCell ref="B1:C2"/>
    <mergeCell ref="B6:B7"/>
    <mergeCell ref="C6:C7"/>
    <mergeCell ref="B13:B14"/>
    <mergeCell ref="C13:C14"/>
    <mergeCell ref="D13:D14"/>
    <mergeCell ref="E13:E14"/>
    <mergeCell ref="C10:C12"/>
    <mergeCell ref="B10:B12"/>
    <mergeCell ref="B15:B16"/>
    <mergeCell ref="C15:C16"/>
    <mergeCell ref="D15:D16"/>
    <mergeCell ref="E15:E16"/>
    <mergeCell ref="C17:C18"/>
    <mergeCell ref="D17:D18"/>
    <mergeCell ref="F17:H18"/>
    <mergeCell ref="D8:D9"/>
    <mergeCell ref="R13:R14"/>
    <mergeCell ref="B19:B20"/>
    <mergeCell ref="C19:C20"/>
    <mergeCell ref="D19:D20"/>
    <mergeCell ref="E19:E20"/>
    <mergeCell ref="D2:R2"/>
    <mergeCell ref="F21:AA21"/>
    <mergeCell ref="F22:AA22"/>
    <mergeCell ref="X2:AA2"/>
    <mergeCell ref="O17:Q18"/>
    <mergeCell ref="F7:H7"/>
    <mergeCell ref="I7:K7"/>
    <mergeCell ref="L7:N7"/>
    <mergeCell ref="O7:Q7"/>
    <mergeCell ref="F8:H9"/>
    <mergeCell ref="I8:K9"/>
    <mergeCell ref="L8:N9"/>
    <mergeCell ref="O8:Q9"/>
    <mergeCell ref="F10:H12"/>
    <mergeCell ref="I10:K12"/>
    <mergeCell ref="L10:N12"/>
    <mergeCell ref="O10:Q12"/>
    <mergeCell ref="F13:H14"/>
    <mergeCell ref="I13:K14"/>
    <mergeCell ref="L13:N14"/>
    <mergeCell ref="O13:Q14"/>
    <mergeCell ref="F15:H16"/>
    <mergeCell ref="I15:K16"/>
    <mergeCell ref="L15:N16"/>
    <mergeCell ref="O15:Q16"/>
  </mergeCells>
  <pageMargins left="0.7" right="0.7" top="0.75" bottom="0.75" header="0.3" footer="0.3"/>
  <pageSetup scale="42" orientation="landscape" r:id="rId1"/>
  <rowBreaks count="1" manualBreakCount="1">
    <brk id="23" max="26" man="1"/>
  </rowBreaks>
  <colBreaks count="1" manualBreakCount="1">
    <brk id="49"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A25"/>
  <sheetViews>
    <sheetView showGridLines="0" zoomScale="90" zoomScaleNormal="90" workbookViewId="0">
      <selection activeCell="P31" sqref="P31"/>
    </sheetView>
  </sheetViews>
  <sheetFormatPr baseColWidth="10" defaultRowHeight="12.75"/>
  <cols>
    <col min="2" max="2" width="34.85546875" customWidth="1"/>
    <col min="3" max="3" width="11.5703125" style="112" customWidth="1"/>
    <col min="4" max="4" width="3.5703125" style="112" customWidth="1"/>
    <col min="5" max="5" width="3.5703125" customWidth="1"/>
    <col min="6" max="6" width="9.42578125" customWidth="1"/>
    <col min="7" max="7" width="9.85546875" style="141" customWidth="1"/>
    <col min="8" max="9" width="3.5703125" customWidth="1"/>
    <col min="10" max="11" width="8.28515625" customWidth="1"/>
    <col min="12" max="13" width="3.5703125" customWidth="1"/>
    <col min="16" max="17" width="3.5703125" customWidth="1"/>
    <col min="18" max="19" width="8.28515625" customWidth="1"/>
    <col min="20" max="21" width="4" customWidth="1"/>
    <col min="22" max="23" width="8.7109375" customWidth="1"/>
    <col min="24" max="24" width="5" customWidth="1"/>
    <col min="25" max="25" width="4.85546875" customWidth="1"/>
    <col min="26" max="26" width="9.42578125" customWidth="1"/>
    <col min="27" max="27" width="10.42578125" customWidth="1"/>
  </cols>
  <sheetData>
    <row r="1" spans="2:27" ht="13.5" thickBot="1"/>
    <row r="2" spans="2:27" ht="18.75" customHeight="1" thickBot="1">
      <c r="B2" s="642" t="s">
        <v>380</v>
      </c>
      <c r="C2" s="643"/>
      <c r="D2" s="642" t="s">
        <v>317</v>
      </c>
      <c r="E2" s="643"/>
      <c r="F2" s="643"/>
      <c r="G2" s="645"/>
      <c r="H2" s="642" t="s">
        <v>326</v>
      </c>
      <c r="I2" s="643"/>
      <c r="J2" s="643"/>
      <c r="K2" s="644"/>
      <c r="L2" s="642" t="s">
        <v>352</v>
      </c>
      <c r="M2" s="643"/>
      <c r="N2" s="643"/>
      <c r="O2" s="644"/>
      <c r="P2" s="642" t="s">
        <v>377</v>
      </c>
      <c r="Q2" s="643"/>
      <c r="R2" s="643"/>
      <c r="S2" s="644"/>
      <c r="T2" s="642" t="s">
        <v>383</v>
      </c>
      <c r="U2" s="643"/>
      <c r="V2" s="643"/>
      <c r="W2" s="645"/>
      <c r="X2" s="642" t="s">
        <v>387</v>
      </c>
      <c r="Y2" s="643"/>
      <c r="Z2" s="643"/>
      <c r="AA2" s="644"/>
    </row>
    <row r="3" spans="2:27" s="339" customFormat="1" ht="22.5" customHeight="1">
      <c r="B3" s="333" t="s">
        <v>320</v>
      </c>
      <c r="C3" s="334" t="s">
        <v>321</v>
      </c>
      <c r="D3" s="335" t="s">
        <v>21</v>
      </c>
      <c r="E3" s="336" t="s">
        <v>22</v>
      </c>
      <c r="F3" s="336" t="s">
        <v>322</v>
      </c>
      <c r="G3" s="337" t="s">
        <v>323</v>
      </c>
      <c r="H3" s="335" t="s">
        <v>21</v>
      </c>
      <c r="I3" s="336" t="s">
        <v>22</v>
      </c>
      <c r="J3" s="336" t="s">
        <v>322</v>
      </c>
      <c r="K3" s="338" t="s">
        <v>323</v>
      </c>
      <c r="L3" s="335" t="s">
        <v>21</v>
      </c>
      <c r="M3" s="336" t="s">
        <v>22</v>
      </c>
      <c r="N3" s="336" t="s">
        <v>322</v>
      </c>
      <c r="O3" s="338" t="s">
        <v>323</v>
      </c>
      <c r="P3" s="335" t="s">
        <v>21</v>
      </c>
      <c r="Q3" s="336" t="s">
        <v>22</v>
      </c>
      <c r="R3" s="336" t="s">
        <v>322</v>
      </c>
      <c r="S3" s="338" t="s">
        <v>323</v>
      </c>
      <c r="T3" s="335" t="s">
        <v>21</v>
      </c>
      <c r="U3" s="336" t="s">
        <v>22</v>
      </c>
      <c r="V3" s="336" t="s">
        <v>322</v>
      </c>
      <c r="W3" s="337" t="s">
        <v>323</v>
      </c>
      <c r="X3" s="335" t="s">
        <v>21</v>
      </c>
      <c r="Y3" s="336" t="s">
        <v>22</v>
      </c>
      <c r="Z3" s="336" t="s">
        <v>322</v>
      </c>
      <c r="AA3" s="338" t="s">
        <v>323</v>
      </c>
    </row>
    <row r="4" spans="2:27">
      <c r="B4" s="242" t="s">
        <v>40</v>
      </c>
      <c r="C4" s="225">
        <v>3</v>
      </c>
      <c r="D4" s="221">
        <v>11</v>
      </c>
      <c r="E4" s="217">
        <v>11</v>
      </c>
      <c r="F4" s="217">
        <f>C4*D4</f>
        <v>33</v>
      </c>
      <c r="G4" s="224">
        <f>C4*E4</f>
        <v>33</v>
      </c>
      <c r="H4" s="221">
        <v>17</v>
      </c>
      <c r="I4" s="217">
        <v>17</v>
      </c>
      <c r="J4" s="217">
        <f>C4*H4</f>
        <v>51</v>
      </c>
      <c r="K4" s="225">
        <f>C4*I4</f>
        <v>51</v>
      </c>
      <c r="L4" s="221">
        <v>5</v>
      </c>
      <c r="M4" s="217">
        <v>5</v>
      </c>
      <c r="N4" s="217">
        <f>C4*L4</f>
        <v>15</v>
      </c>
      <c r="O4" s="225">
        <f>C4*M4</f>
        <v>15</v>
      </c>
      <c r="P4" s="226">
        <v>6</v>
      </c>
      <c r="Q4" s="220">
        <v>6</v>
      </c>
      <c r="R4" s="219">
        <f>P4*C4</f>
        <v>18</v>
      </c>
      <c r="S4" s="227">
        <f>Q4*C4</f>
        <v>18</v>
      </c>
      <c r="T4" s="251">
        <f>+CRONOGRAMA!R10</f>
        <v>3</v>
      </c>
      <c r="U4" s="220">
        <f>+CRONOGRAMA!S10</f>
        <v>3</v>
      </c>
      <c r="V4" s="219">
        <f>T4*C4</f>
        <v>9</v>
      </c>
      <c r="W4" s="255">
        <f>U4*C4</f>
        <v>9</v>
      </c>
      <c r="X4" s="265">
        <f>+CRONOGRAMA!T10</f>
        <v>4</v>
      </c>
      <c r="Y4" s="219">
        <f>+CRONOGRAMA!U10</f>
        <v>4</v>
      </c>
      <c r="Z4" s="263">
        <f>+X4*C4</f>
        <v>12</v>
      </c>
      <c r="AA4" s="264">
        <f>+Y4*C4</f>
        <v>12</v>
      </c>
    </row>
    <row r="5" spans="2:27">
      <c r="B5" s="242" t="s">
        <v>47</v>
      </c>
      <c r="C5" s="225">
        <v>2</v>
      </c>
      <c r="D5" s="221">
        <v>11</v>
      </c>
      <c r="E5" s="217">
        <v>11</v>
      </c>
      <c r="F5" s="217">
        <f t="shared" ref="F5:F18" si="0">C5*D5</f>
        <v>22</v>
      </c>
      <c r="G5" s="224">
        <f t="shared" ref="G5:G18" si="1">C5*E5</f>
        <v>22</v>
      </c>
      <c r="H5" s="221">
        <v>17</v>
      </c>
      <c r="I5" s="217">
        <v>17</v>
      </c>
      <c r="J5" s="217">
        <f t="shared" ref="J5:J18" si="2">C5*H5</f>
        <v>34</v>
      </c>
      <c r="K5" s="225">
        <f t="shared" ref="K5:K18" si="3">C5*I5</f>
        <v>34</v>
      </c>
      <c r="L5" s="221">
        <v>5</v>
      </c>
      <c r="M5" s="217">
        <v>5</v>
      </c>
      <c r="N5" s="217">
        <f t="shared" ref="N5:N18" si="4">C5*L5</f>
        <v>10</v>
      </c>
      <c r="O5" s="225">
        <f t="shared" ref="O5:O18" si="5">C5*M5</f>
        <v>10</v>
      </c>
      <c r="P5" s="226">
        <v>6</v>
      </c>
      <c r="Q5" s="220">
        <v>6</v>
      </c>
      <c r="R5" s="219">
        <f t="shared" ref="R5:R18" si="6">P5*C5</f>
        <v>12</v>
      </c>
      <c r="S5" s="227">
        <f t="shared" ref="S5:S18" si="7">Q5*C5</f>
        <v>12</v>
      </c>
      <c r="T5" s="251">
        <f>+CRONOGRAMA!R12</f>
        <v>3</v>
      </c>
      <c r="U5" s="220">
        <f>+CRONOGRAMA!S12</f>
        <v>3</v>
      </c>
      <c r="V5" s="219">
        <f>T5*C5</f>
        <v>6</v>
      </c>
      <c r="W5" s="255">
        <f>U5*C5</f>
        <v>6</v>
      </c>
      <c r="X5" s="265">
        <f>+CRONOGRAMA!T12</f>
        <v>4</v>
      </c>
      <c r="Y5" s="219">
        <f>+CRONOGRAMA!U12</f>
        <v>4</v>
      </c>
      <c r="Z5" s="263">
        <f>+X5*C5</f>
        <v>8</v>
      </c>
      <c r="AA5" s="264">
        <f>+Y5*C5</f>
        <v>8</v>
      </c>
    </row>
    <row r="6" spans="2:27">
      <c r="B6" s="242" t="s">
        <v>219</v>
      </c>
      <c r="C6" s="225">
        <v>2</v>
      </c>
      <c r="D6" s="223" t="s">
        <v>327</v>
      </c>
      <c r="E6" s="218" t="s">
        <v>327</v>
      </c>
      <c r="F6" s="218" t="s">
        <v>327</v>
      </c>
      <c r="G6" s="224" t="s">
        <v>327</v>
      </c>
      <c r="H6" s="221">
        <v>35</v>
      </c>
      <c r="I6" s="217">
        <v>35</v>
      </c>
      <c r="J6" s="217">
        <f t="shared" si="2"/>
        <v>70</v>
      </c>
      <c r="K6" s="225">
        <f t="shared" si="3"/>
        <v>70</v>
      </c>
      <c r="L6" s="223" t="s">
        <v>327</v>
      </c>
      <c r="M6" s="218" t="s">
        <v>327</v>
      </c>
      <c r="N6" s="217" t="s">
        <v>327</v>
      </c>
      <c r="O6" s="225" t="s">
        <v>327</v>
      </c>
      <c r="P6" s="226"/>
      <c r="Q6" s="220"/>
      <c r="R6" s="219">
        <f t="shared" si="6"/>
        <v>0</v>
      </c>
      <c r="S6" s="227">
        <f t="shared" si="7"/>
        <v>0</v>
      </c>
      <c r="T6" s="219" t="s">
        <v>327</v>
      </c>
      <c r="U6" s="219" t="s">
        <v>327</v>
      </c>
      <c r="V6" s="219" t="s">
        <v>327</v>
      </c>
      <c r="W6" s="255" t="s">
        <v>327</v>
      </c>
      <c r="X6" s="261" t="s">
        <v>327</v>
      </c>
      <c r="Y6" s="219" t="s">
        <v>327</v>
      </c>
      <c r="Z6" s="219" t="s">
        <v>327</v>
      </c>
      <c r="AA6" s="227" t="s">
        <v>327</v>
      </c>
    </row>
    <row r="7" spans="2:27">
      <c r="B7" s="242" t="s">
        <v>55</v>
      </c>
      <c r="C7" s="225">
        <v>2</v>
      </c>
      <c r="D7" s="223" t="s">
        <v>327</v>
      </c>
      <c r="E7" s="218" t="s">
        <v>327</v>
      </c>
      <c r="F7" s="218" t="s">
        <v>327</v>
      </c>
      <c r="G7" s="224" t="s">
        <v>327</v>
      </c>
      <c r="H7" s="221">
        <v>2</v>
      </c>
      <c r="I7" s="217">
        <v>2</v>
      </c>
      <c r="J7" s="217">
        <f t="shared" si="2"/>
        <v>4</v>
      </c>
      <c r="K7" s="225">
        <f t="shared" si="3"/>
        <v>4</v>
      </c>
      <c r="L7" s="221">
        <v>3</v>
      </c>
      <c r="M7" s="217">
        <v>3</v>
      </c>
      <c r="N7" s="217">
        <f t="shared" si="4"/>
        <v>6</v>
      </c>
      <c r="O7" s="225">
        <f t="shared" si="5"/>
        <v>6</v>
      </c>
      <c r="P7" s="226">
        <v>15</v>
      </c>
      <c r="Q7" s="220">
        <v>15</v>
      </c>
      <c r="R7" s="219">
        <f t="shared" si="6"/>
        <v>30</v>
      </c>
      <c r="S7" s="227">
        <f t="shared" si="7"/>
        <v>30</v>
      </c>
      <c r="T7" s="251">
        <f>+CRONOGRAMA!R13</f>
        <v>1</v>
      </c>
      <c r="U7" s="220">
        <f>+CRONOGRAMA!S13</f>
        <v>1</v>
      </c>
      <c r="V7" s="219">
        <f t="shared" ref="V7:V18" si="8">T7*C7</f>
        <v>2</v>
      </c>
      <c r="W7" s="255">
        <f t="shared" ref="W7:W18" si="9">U7*C7</f>
        <v>2</v>
      </c>
      <c r="X7" s="261" t="s">
        <v>327</v>
      </c>
      <c r="Y7" s="219" t="s">
        <v>327</v>
      </c>
      <c r="Z7" s="219" t="s">
        <v>327</v>
      </c>
      <c r="AA7" s="227" t="s">
        <v>327</v>
      </c>
    </row>
    <row r="8" spans="2:27">
      <c r="B8" s="242" t="s">
        <v>384</v>
      </c>
      <c r="C8" s="225">
        <v>2</v>
      </c>
      <c r="D8" s="223" t="s">
        <v>327</v>
      </c>
      <c r="E8" s="218" t="s">
        <v>327</v>
      </c>
      <c r="F8" s="218" t="s">
        <v>327</v>
      </c>
      <c r="G8" s="224" t="s">
        <v>327</v>
      </c>
      <c r="H8" s="223" t="s">
        <v>327</v>
      </c>
      <c r="I8" s="218" t="s">
        <v>327</v>
      </c>
      <c r="J8" s="218" t="s">
        <v>327</v>
      </c>
      <c r="K8" s="222" t="s">
        <v>327</v>
      </c>
      <c r="L8" s="223" t="s">
        <v>327</v>
      </c>
      <c r="M8" s="218"/>
      <c r="N8" s="217" t="s">
        <v>327</v>
      </c>
      <c r="O8" s="225" t="s">
        <v>327</v>
      </c>
      <c r="P8" s="226" t="s">
        <v>327</v>
      </c>
      <c r="Q8" s="220" t="s">
        <v>327</v>
      </c>
      <c r="R8" s="219" t="s">
        <v>327</v>
      </c>
      <c r="S8" s="227" t="s">
        <v>327</v>
      </c>
      <c r="T8" s="219" t="s">
        <v>327</v>
      </c>
      <c r="U8" s="219" t="s">
        <v>327</v>
      </c>
      <c r="V8" s="219" t="s">
        <v>327</v>
      </c>
      <c r="W8" s="255" t="s">
        <v>327</v>
      </c>
      <c r="X8" s="265">
        <f>+CRONOGRAMA!T16</f>
        <v>21</v>
      </c>
      <c r="Y8" s="219">
        <f>+CRONOGRAMA!U16</f>
        <v>21</v>
      </c>
      <c r="Z8" s="219">
        <f>+X8*C8</f>
        <v>42</v>
      </c>
      <c r="AA8" s="227">
        <f>+Y8*C8</f>
        <v>42</v>
      </c>
    </row>
    <row r="9" spans="2:27">
      <c r="B9" s="242" t="s">
        <v>351</v>
      </c>
      <c r="C9" s="225">
        <v>8</v>
      </c>
      <c r="D9" s="223" t="s">
        <v>327</v>
      </c>
      <c r="E9" s="218" t="s">
        <v>327</v>
      </c>
      <c r="F9" s="218" t="s">
        <v>327</v>
      </c>
      <c r="G9" s="224" t="s">
        <v>327</v>
      </c>
      <c r="H9" s="223" t="s">
        <v>327</v>
      </c>
      <c r="I9" s="218" t="s">
        <v>327</v>
      </c>
      <c r="J9" s="218" t="s">
        <v>327</v>
      </c>
      <c r="K9" s="222" t="s">
        <v>327</v>
      </c>
      <c r="L9" s="223">
        <v>40</v>
      </c>
      <c r="M9" s="218">
        <v>40</v>
      </c>
      <c r="N9" s="217">
        <f t="shared" si="4"/>
        <v>320</v>
      </c>
      <c r="O9" s="225">
        <f t="shared" si="5"/>
        <v>320</v>
      </c>
      <c r="P9" s="226" t="s">
        <v>327</v>
      </c>
      <c r="Q9" s="220" t="s">
        <v>327</v>
      </c>
      <c r="R9" s="219" t="s">
        <v>327</v>
      </c>
      <c r="S9" s="227" t="s">
        <v>327</v>
      </c>
      <c r="T9" s="219" t="s">
        <v>327</v>
      </c>
      <c r="U9" s="219" t="s">
        <v>327</v>
      </c>
      <c r="V9" s="219" t="s">
        <v>327</v>
      </c>
      <c r="W9" s="255" t="s">
        <v>327</v>
      </c>
      <c r="X9" s="261" t="s">
        <v>327</v>
      </c>
      <c r="Y9" s="219" t="s">
        <v>327</v>
      </c>
      <c r="Z9" s="219" t="s">
        <v>327</v>
      </c>
      <c r="AA9" s="227" t="s">
        <v>327</v>
      </c>
    </row>
    <row r="10" spans="2:27">
      <c r="B10" s="242" t="s">
        <v>222</v>
      </c>
      <c r="C10" s="225">
        <v>8</v>
      </c>
      <c r="D10" s="223" t="s">
        <v>327</v>
      </c>
      <c r="E10" s="218" t="s">
        <v>327</v>
      </c>
      <c r="F10" s="218" t="s">
        <v>327</v>
      </c>
      <c r="G10" s="224" t="s">
        <v>327</v>
      </c>
      <c r="H10" s="223" t="s">
        <v>327</v>
      </c>
      <c r="I10" s="218" t="s">
        <v>327</v>
      </c>
      <c r="J10" s="218" t="s">
        <v>327</v>
      </c>
      <c r="K10" s="222" t="s">
        <v>327</v>
      </c>
      <c r="L10" s="223" t="s">
        <v>327</v>
      </c>
      <c r="M10" s="218"/>
      <c r="N10" s="217" t="s">
        <v>327</v>
      </c>
      <c r="O10" s="225" t="s">
        <v>327</v>
      </c>
      <c r="P10" s="226" t="s">
        <v>327</v>
      </c>
      <c r="Q10" s="220" t="s">
        <v>327</v>
      </c>
      <c r="R10" s="219" t="s">
        <v>327</v>
      </c>
      <c r="S10" s="227" t="s">
        <v>327</v>
      </c>
      <c r="T10" s="219" t="s">
        <v>327</v>
      </c>
      <c r="U10" s="219" t="s">
        <v>327</v>
      </c>
      <c r="V10" s="219" t="s">
        <v>327</v>
      </c>
      <c r="W10" s="255" t="s">
        <v>327</v>
      </c>
      <c r="X10" s="261" t="s">
        <v>327</v>
      </c>
      <c r="Y10" s="219" t="s">
        <v>327</v>
      </c>
      <c r="Z10" s="219" t="s">
        <v>327</v>
      </c>
      <c r="AA10" s="227" t="s">
        <v>327</v>
      </c>
    </row>
    <row r="11" spans="2:27">
      <c r="B11" s="242" t="s">
        <v>120</v>
      </c>
      <c r="C11" s="225">
        <v>8</v>
      </c>
      <c r="D11" s="223" t="s">
        <v>327</v>
      </c>
      <c r="E11" s="218" t="s">
        <v>327</v>
      </c>
      <c r="F11" s="218" t="s">
        <v>327</v>
      </c>
      <c r="G11" s="224" t="s">
        <v>327</v>
      </c>
      <c r="H11" s="223" t="s">
        <v>327</v>
      </c>
      <c r="I11" s="218" t="s">
        <v>327</v>
      </c>
      <c r="J11" s="218" t="s">
        <v>327</v>
      </c>
      <c r="K11" s="222" t="s">
        <v>327</v>
      </c>
      <c r="L11" s="223" t="s">
        <v>327</v>
      </c>
      <c r="M11" s="218"/>
      <c r="N11" s="217" t="s">
        <v>327</v>
      </c>
      <c r="O11" s="225" t="s">
        <v>327</v>
      </c>
      <c r="P11" s="226" t="s">
        <v>327</v>
      </c>
      <c r="Q11" s="220" t="s">
        <v>327</v>
      </c>
      <c r="R11" s="219" t="s">
        <v>327</v>
      </c>
      <c r="S11" s="227" t="s">
        <v>327</v>
      </c>
      <c r="T11" s="219" t="s">
        <v>327</v>
      </c>
      <c r="U11" s="219" t="s">
        <v>327</v>
      </c>
      <c r="V11" s="219" t="s">
        <v>327</v>
      </c>
      <c r="W11" s="255" t="s">
        <v>327</v>
      </c>
      <c r="X11" s="261" t="s">
        <v>327</v>
      </c>
      <c r="Y11" s="219" t="s">
        <v>327</v>
      </c>
      <c r="Z11" s="219" t="s">
        <v>327</v>
      </c>
      <c r="AA11" s="227" t="s">
        <v>327</v>
      </c>
    </row>
    <row r="12" spans="2:27">
      <c r="B12" s="242" t="s">
        <v>54</v>
      </c>
      <c r="C12" s="225">
        <v>8</v>
      </c>
      <c r="D12" s="223" t="s">
        <v>327</v>
      </c>
      <c r="E12" s="218" t="s">
        <v>327</v>
      </c>
      <c r="F12" s="218" t="s">
        <v>327</v>
      </c>
      <c r="G12" s="224" t="s">
        <v>327</v>
      </c>
      <c r="H12" s="223" t="s">
        <v>327</v>
      </c>
      <c r="I12" s="218" t="s">
        <v>327</v>
      </c>
      <c r="J12" s="218" t="s">
        <v>327</v>
      </c>
      <c r="K12" s="222" t="s">
        <v>327</v>
      </c>
      <c r="L12" s="223" t="s">
        <v>327</v>
      </c>
      <c r="M12" s="218"/>
      <c r="N12" s="217" t="s">
        <v>327</v>
      </c>
      <c r="O12" s="225" t="s">
        <v>327</v>
      </c>
      <c r="P12" s="226" t="s">
        <v>327</v>
      </c>
      <c r="Q12" s="220" t="s">
        <v>327</v>
      </c>
      <c r="R12" s="219" t="s">
        <v>327</v>
      </c>
      <c r="S12" s="227" t="s">
        <v>327</v>
      </c>
      <c r="T12" s="219" t="s">
        <v>327</v>
      </c>
      <c r="U12" s="219" t="s">
        <v>327</v>
      </c>
      <c r="V12" s="219" t="s">
        <v>327</v>
      </c>
      <c r="W12" s="255" t="s">
        <v>327</v>
      </c>
      <c r="X12" s="261" t="s">
        <v>327</v>
      </c>
      <c r="Y12" s="219" t="s">
        <v>327</v>
      </c>
      <c r="Z12" s="219" t="s">
        <v>327</v>
      </c>
      <c r="AA12" s="227" t="s">
        <v>327</v>
      </c>
    </row>
    <row r="13" spans="2:27">
      <c r="B13" s="242" t="s">
        <v>115</v>
      </c>
      <c r="C13" s="225">
        <v>32</v>
      </c>
      <c r="D13" s="221">
        <v>1</v>
      </c>
      <c r="E13" s="217">
        <v>1</v>
      </c>
      <c r="F13" s="217">
        <f t="shared" si="0"/>
        <v>32</v>
      </c>
      <c r="G13" s="224">
        <f t="shared" si="1"/>
        <v>32</v>
      </c>
      <c r="H13" s="221">
        <v>4</v>
      </c>
      <c r="I13" s="217">
        <v>4</v>
      </c>
      <c r="J13" s="217">
        <f t="shared" si="2"/>
        <v>128</v>
      </c>
      <c r="K13" s="225">
        <f t="shared" si="3"/>
        <v>128</v>
      </c>
      <c r="L13" s="221"/>
      <c r="M13" s="217"/>
      <c r="N13" s="217" t="s">
        <v>327</v>
      </c>
      <c r="O13" s="225" t="s">
        <v>327</v>
      </c>
      <c r="P13" s="226" t="s">
        <v>327</v>
      </c>
      <c r="Q13" s="220" t="s">
        <v>327</v>
      </c>
      <c r="R13" s="219" t="s">
        <v>327</v>
      </c>
      <c r="S13" s="227" t="s">
        <v>327</v>
      </c>
      <c r="T13" s="263">
        <f>+CRONOGRAMA!R20</f>
        <v>1</v>
      </c>
      <c r="U13" s="219">
        <f>+CRONOGRAMA!S20</f>
        <v>1</v>
      </c>
      <c r="V13" s="219">
        <f>+T13*C13</f>
        <v>32</v>
      </c>
      <c r="W13" s="255">
        <f>+U13*C13</f>
        <v>32</v>
      </c>
      <c r="X13" s="265">
        <f>+CRONOGRAMA!T20</f>
        <v>0</v>
      </c>
      <c r="Y13" s="263">
        <f>+CRONOGRAMA!U20</f>
        <v>0</v>
      </c>
      <c r="Z13" s="219" t="s">
        <v>327</v>
      </c>
      <c r="AA13" s="227" t="s">
        <v>327</v>
      </c>
    </row>
    <row r="14" spans="2:27">
      <c r="B14" s="242" t="s">
        <v>243</v>
      </c>
      <c r="C14" s="225">
        <v>8</v>
      </c>
      <c r="D14" s="223" t="s">
        <v>327</v>
      </c>
      <c r="E14" s="218" t="s">
        <v>327</v>
      </c>
      <c r="F14" s="218" t="s">
        <v>327</v>
      </c>
      <c r="G14" s="224" t="s">
        <v>327</v>
      </c>
      <c r="H14" s="221">
        <v>4</v>
      </c>
      <c r="I14" s="217">
        <v>4</v>
      </c>
      <c r="J14" s="217">
        <f t="shared" si="2"/>
        <v>32</v>
      </c>
      <c r="K14" s="225">
        <f t="shared" si="3"/>
        <v>32</v>
      </c>
      <c r="L14" s="221">
        <v>1</v>
      </c>
      <c r="M14" s="217">
        <v>1</v>
      </c>
      <c r="N14" s="217">
        <f t="shared" si="4"/>
        <v>8</v>
      </c>
      <c r="O14" s="225">
        <f t="shared" si="5"/>
        <v>8</v>
      </c>
      <c r="P14" s="226" t="s">
        <v>327</v>
      </c>
      <c r="Q14" s="220" t="s">
        <v>327</v>
      </c>
      <c r="R14" s="219" t="s">
        <v>327</v>
      </c>
      <c r="S14" s="227" t="s">
        <v>327</v>
      </c>
      <c r="T14" s="263">
        <f>+CRONOGRAMA!R21</f>
        <v>1</v>
      </c>
      <c r="U14" s="219">
        <f>+CRONOGRAMA!S21</f>
        <v>1</v>
      </c>
      <c r="V14" s="219">
        <f>+T14*C14</f>
        <v>8</v>
      </c>
      <c r="W14" s="255">
        <f>+U14*C14</f>
        <v>8</v>
      </c>
      <c r="X14" s="265">
        <f>+CRONOGRAMA!T21</f>
        <v>0</v>
      </c>
      <c r="Y14" s="263">
        <f>+CRONOGRAMA!U21</f>
        <v>0</v>
      </c>
      <c r="Z14" s="219" t="s">
        <v>327</v>
      </c>
      <c r="AA14" s="227" t="s">
        <v>327</v>
      </c>
    </row>
    <row r="15" spans="2:27">
      <c r="B15" s="242" t="s">
        <v>188</v>
      </c>
      <c r="C15" s="225">
        <v>8</v>
      </c>
      <c r="D15" s="221">
        <v>1</v>
      </c>
      <c r="E15" s="217">
        <v>1</v>
      </c>
      <c r="F15" s="217">
        <f t="shared" si="0"/>
        <v>8</v>
      </c>
      <c r="G15" s="224">
        <f t="shared" si="1"/>
        <v>8</v>
      </c>
      <c r="H15" s="221">
        <v>3</v>
      </c>
      <c r="I15" s="217">
        <v>3</v>
      </c>
      <c r="J15" s="217">
        <f t="shared" si="2"/>
        <v>24</v>
      </c>
      <c r="K15" s="225">
        <f t="shared" si="3"/>
        <v>24</v>
      </c>
      <c r="L15" s="221">
        <v>3</v>
      </c>
      <c r="M15" s="217">
        <v>3</v>
      </c>
      <c r="N15" s="217">
        <f t="shared" si="4"/>
        <v>24</v>
      </c>
      <c r="O15" s="225">
        <f t="shared" si="5"/>
        <v>24</v>
      </c>
      <c r="P15" s="226" t="s">
        <v>327</v>
      </c>
      <c r="Q15" s="220" t="s">
        <v>327</v>
      </c>
      <c r="R15" s="219" t="s">
        <v>327</v>
      </c>
      <c r="S15" s="227" t="s">
        <v>327</v>
      </c>
      <c r="T15" s="263">
        <f>+CRONOGRAMA!R22</f>
        <v>1</v>
      </c>
      <c r="U15" s="219">
        <f>+CRONOGRAMA!S22</f>
        <v>1</v>
      </c>
      <c r="V15" s="219">
        <f>T15*C15</f>
        <v>8</v>
      </c>
      <c r="W15" s="255">
        <f>+U15*C15</f>
        <v>8</v>
      </c>
      <c r="X15" s="265">
        <f>+CRONOGRAMA!T22</f>
        <v>1</v>
      </c>
      <c r="Y15" s="219">
        <f>+CRONOGRAMA!U22</f>
        <v>1</v>
      </c>
      <c r="Z15" s="219">
        <f>+X15*C15</f>
        <v>8</v>
      </c>
      <c r="AA15" s="227">
        <f>+Y15*C15</f>
        <v>8</v>
      </c>
    </row>
    <row r="16" spans="2:27">
      <c r="B16" s="243" t="s">
        <v>324</v>
      </c>
      <c r="C16" s="225">
        <v>8</v>
      </c>
      <c r="D16" s="223" t="s">
        <v>327</v>
      </c>
      <c r="E16" s="218" t="s">
        <v>327</v>
      </c>
      <c r="F16" s="218" t="s">
        <v>327</v>
      </c>
      <c r="G16" s="224" t="s">
        <v>327</v>
      </c>
      <c r="H16" s="221">
        <v>9</v>
      </c>
      <c r="I16" s="217">
        <v>9</v>
      </c>
      <c r="J16" s="217">
        <f t="shared" si="2"/>
        <v>72</v>
      </c>
      <c r="K16" s="225">
        <f t="shared" si="3"/>
        <v>72</v>
      </c>
      <c r="L16" s="223" t="s">
        <v>327</v>
      </c>
      <c r="M16" s="218" t="s">
        <v>327</v>
      </c>
      <c r="N16" s="217" t="s">
        <v>327</v>
      </c>
      <c r="O16" s="225" t="s">
        <v>327</v>
      </c>
      <c r="P16" s="226">
        <v>6</v>
      </c>
      <c r="Q16" s="220">
        <v>6</v>
      </c>
      <c r="R16" s="219">
        <f t="shared" si="6"/>
        <v>48</v>
      </c>
      <c r="S16" s="227">
        <f t="shared" si="7"/>
        <v>48</v>
      </c>
      <c r="T16" s="251">
        <f>+CRONOGRAMA!R23</f>
        <v>4</v>
      </c>
      <c r="U16" s="220">
        <f>+CRONOGRAMA!S23</f>
        <v>4</v>
      </c>
      <c r="V16" s="219">
        <f t="shared" si="8"/>
        <v>32</v>
      </c>
      <c r="W16" s="255">
        <f t="shared" si="9"/>
        <v>32</v>
      </c>
      <c r="X16" s="265">
        <f>+CRONOGRAMA!T23</f>
        <v>2</v>
      </c>
      <c r="Y16" s="263">
        <f>+CRONOGRAMA!U23</f>
        <v>2</v>
      </c>
      <c r="Z16" s="219">
        <f>X16*C16</f>
        <v>16</v>
      </c>
      <c r="AA16" s="227">
        <f>Y16*C16</f>
        <v>16</v>
      </c>
    </row>
    <row r="17" spans="2:27">
      <c r="B17" s="242" t="s">
        <v>189</v>
      </c>
      <c r="C17" s="225">
        <v>4</v>
      </c>
      <c r="D17" s="221">
        <v>14</v>
      </c>
      <c r="E17" s="217">
        <v>14</v>
      </c>
      <c r="F17" s="217">
        <f t="shared" si="0"/>
        <v>56</v>
      </c>
      <c r="G17" s="224">
        <f t="shared" si="1"/>
        <v>56</v>
      </c>
      <c r="H17" s="221">
        <v>9</v>
      </c>
      <c r="I17" s="217">
        <v>9</v>
      </c>
      <c r="J17" s="217">
        <f t="shared" si="2"/>
        <v>36</v>
      </c>
      <c r="K17" s="225">
        <f t="shared" si="3"/>
        <v>36</v>
      </c>
      <c r="L17" s="221">
        <v>4</v>
      </c>
      <c r="M17" s="217">
        <v>4</v>
      </c>
      <c r="N17" s="217">
        <f t="shared" si="4"/>
        <v>16</v>
      </c>
      <c r="O17" s="225">
        <f t="shared" si="5"/>
        <v>16</v>
      </c>
      <c r="P17" s="226">
        <v>7</v>
      </c>
      <c r="Q17" s="220">
        <v>7</v>
      </c>
      <c r="R17" s="219">
        <f t="shared" si="6"/>
        <v>28</v>
      </c>
      <c r="S17" s="227">
        <f t="shared" si="7"/>
        <v>28</v>
      </c>
      <c r="T17" s="251">
        <f>+CRONOGRAMA!R24</f>
        <v>1</v>
      </c>
      <c r="U17" s="220">
        <f>+CRONOGRAMA!S24</f>
        <v>1</v>
      </c>
      <c r="V17" s="219">
        <f t="shared" si="8"/>
        <v>4</v>
      </c>
      <c r="W17" s="255">
        <f t="shared" si="9"/>
        <v>4</v>
      </c>
      <c r="X17" s="265">
        <f>+CRONOGRAMA!T24</f>
        <v>1</v>
      </c>
      <c r="Y17" s="263">
        <f>+CRONOGRAMA!U24</f>
        <v>1</v>
      </c>
      <c r="Z17" s="219">
        <f>X17*C17</f>
        <v>4</v>
      </c>
      <c r="AA17" s="227">
        <f>Y17*C17</f>
        <v>4</v>
      </c>
    </row>
    <row r="18" spans="2:27" ht="18" customHeight="1" thickBot="1">
      <c r="B18" s="256" t="s">
        <v>190</v>
      </c>
      <c r="C18" s="231">
        <v>32</v>
      </c>
      <c r="D18" s="228">
        <v>12</v>
      </c>
      <c r="E18" s="229">
        <v>12</v>
      </c>
      <c r="F18" s="229">
        <f t="shared" si="0"/>
        <v>384</v>
      </c>
      <c r="G18" s="230">
        <f t="shared" si="1"/>
        <v>384</v>
      </c>
      <c r="H18" s="228">
        <v>7</v>
      </c>
      <c r="I18" s="229">
        <v>7</v>
      </c>
      <c r="J18" s="229">
        <f t="shared" si="2"/>
        <v>224</v>
      </c>
      <c r="K18" s="231">
        <f t="shared" si="3"/>
        <v>224</v>
      </c>
      <c r="L18" s="228">
        <v>2</v>
      </c>
      <c r="M18" s="229">
        <v>2</v>
      </c>
      <c r="N18" s="229">
        <f t="shared" si="4"/>
        <v>64</v>
      </c>
      <c r="O18" s="231">
        <f t="shared" si="5"/>
        <v>64</v>
      </c>
      <c r="P18" s="232">
        <v>3</v>
      </c>
      <c r="Q18" s="233">
        <v>3</v>
      </c>
      <c r="R18" s="234">
        <f t="shared" si="6"/>
        <v>96</v>
      </c>
      <c r="S18" s="235">
        <f t="shared" si="7"/>
        <v>96</v>
      </c>
      <c r="T18" s="252">
        <f>+CRONOGRAMA!R25</f>
        <v>2</v>
      </c>
      <c r="U18" s="233">
        <f>+CRONOGRAMA!S25</f>
        <v>2</v>
      </c>
      <c r="V18" s="234">
        <f t="shared" si="8"/>
        <v>64</v>
      </c>
      <c r="W18" s="257">
        <f t="shared" si="9"/>
        <v>64</v>
      </c>
      <c r="X18" s="272">
        <f>+CRONOGRAMA!T25</f>
        <v>1</v>
      </c>
      <c r="Y18" s="234">
        <f>+CRONOGRAMA!U25</f>
        <v>1</v>
      </c>
      <c r="Z18" s="234">
        <f>+X18*C18</f>
        <v>32</v>
      </c>
      <c r="AA18" s="235">
        <f>+Y18*C18</f>
        <v>32</v>
      </c>
    </row>
    <row r="19" spans="2:27" ht="24.75" customHeight="1" thickBot="1">
      <c r="B19" s="646" t="s">
        <v>328</v>
      </c>
      <c r="C19" s="647"/>
      <c r="D19" s="236"/>
      <c r="E19" s="237"/>
      <c r="F19" s="331">
        <f>SUM(F4:F18)</f>
        <v>535</v>
      </c>
      <c r="G19" s="238">
        <f>SUM(G4:G18)</f>
        <v>535</v>
      </c>
      <c r="H19" s="650"/>
      <c r="I19" s="651"/>
      <c r="J19" s="331">
        <f>SUM(J4:J18)</f>
        <v>675</v>
      </c>
      <c r="K19" s="340">
        <f>SUM(K4:K18)</f>
        <v>675</v>
      </c>
      <c r="L19" s="650"/>
      <c r="M19" s="651"/>
      <c r="N19" s="331">
        <f>SUM(N4:N18)</f>
        <v>463</v>
      </c>
      <c r="O19" s="340">
        <f>SUM(O4:O18)</f>
        <v>463</v>
      </c>
      <c r="P19" s="650"/>
      <c r="Q19" s="651"/>
      <c r="R19" s="331">
        <f>SUM(R4:R18)</f>
        <v>232</v>
      </c>
      <c r="S19" s="340">
        <f>SUM(S4:S18)</f>
        <v>232</v>
      </c>
      <c r="T19" s="650"/>
      <c r="U19" s="651"/>
      <c r="V19" s="331">
        <f>SUM(V4:V18)</f>
        <v>165</v>
      </c>
      <c r="W19" s="238">
        <f>SUM(W4:W18)</f>
        <v>165</v>
      </c>
      <c r="X19" s="654"/>
      <c r="Y19" s="655"/>
      <c r="Z19" s="331">
        <f>SUM(Z4:Z18)</f>
        <v>122</v>
      </c>
      <c r="AA19" s="340">
        <f>SUM(AA4:AA18)</f>
        <v>122</v>
      </c>
    </row>
    <row r="20" spans="2:27" ht="32.25" customHeight="1" thickBot="1">
      <c r="B20" s="648" t="s">
        <v>325</v>
      </c>
      <c r="C20" s="649"/>
      <c r="D20" s="239"/>
      <c r="E20" s="240"/>
      <c r="F20" s="332">
        <f>SUM(F13:F18)</f>
        <v>480</v>
      </c>
      <c r="G20" s="241">
        <f>SUM(G13:G18)</f>
        <v>480</v>
      </c>
      <c r="H20" s="652"/>
      <c r="I20" s="653"/>
      <c r="J20" s="332">
        <f>SUM(J13:J18)</f>
        <v>516</v>
      </c>
      <c r="K20" s="341">
        <f>SUM(K13:K18)</f>
        <v>516</v>
      </c>
      <c r="L20" s="652"/>
      <c r="M20" s="653"/>
      <c r="N20" s="332">
        <f>SUM(N13:N18)</f>
        <v>112</v>
      </c>
      <c r="O20" s="341">
        <f>SUM(O13:O18)</f>
        <v>112</v>
      </c>
      <c r="P20" s="652"/>
      <c r="Q20" s="653"/>
      <c r="R20" s="332">
        <f>SUM(R13:R18)</f>
        <v>172</v>
      </c>
      <c r="S20" s="341">
        <f>SUM(S13:S18)</f>
        <v>172</v>
      </c>
      <c r="T20" s="652"/>
      <c r="U20" s="653"/>
      <c r="V20" s="332">
        <f>SUM(V13:V18)</f>
        <v>148</v>
      </c>
      <c r="W20" s="241">
        <f>SUM(W13:W18)</f>
        <v>148</v>
      </c>
      <c r="X20" s="656"/>
      <c r="Y20" s="657"/>
      <c r="Z20" s="332">
        <f>SUM(Z13:Z18)</f>
        <v>60</v>
      </c>
      <c r="AA20" s="341">
        <f>SUM(AA13:AA18)</f>
        <v>60</v>
      </c>
    </row>
    <row r="23" spans="2:27" ht="13.5" thickBot="1"/>
    <row r="24" spans="2:27" ht="13.5" thickBot="1">
      <c r="B24" s="658" t="s">
        <v>328</v>
      </c>
      <c r="C24" s="659"/>
      <c r="D24" s="662">
        <f>SUM(G19+K19+O19+S19+W19+AA19)</f>
        <v>2192</v>
      </c>
      <c r="E24" s="662"/>
      <c r="F24" s="662"/>
    </row>
    <row r="25" spans="2:27" ht="13.5" thickBot="1">
      <c r="B25" s="660" t="s">
        <v>325</v>
      </c>
      <c r="C25" s="661"/>
      <c r="D25" s="662">
        <f>SUM(G20+K20+O20+S20+W20+AA20)</f>
        <v>1488</v>
      </c>
      <c r="E25" s="662"/>
      <c r="F25" s="662"/>
    </row>
  </sheetData>
  <mergeCells count="23">
    <mergeCell ref="T20:U20"/>
    <mergeCell ref="X19:Y19"/>
    <mergeCell ref="X20:Y20"/>
    <mergeCell ref="B24:C24"/>
    <mergeCell ref="B25:C25"/>
    <mergeCell ref="D24:F24"/>
    <mergeCell ref="D25:F25"/>
    <mergeCell ref="X2:AA2"/>
    <mergeCell ref="T2:W2"/>
    <mergeCell ref="B19:C19"/>
    <mergeCell ref="B20:C20"/>
    <mergeCell ref="B2:C2"/>
    <mergeCell ref="P2:S2"/>
    <mergeCell ref="L2:O2"/>
    <mergeCell ref="L19:M19"/>
    <mergeCell ref="L20:M20"/>
    <mergeCell ref="D2:G2"/>
    <mergeCell ref="H2:K2"/>
    <mergeCell ref="H19:I19"/>
    <mergeCell ref="H20:I20"/>
    <mergeCell ref="P19:Q19"/>
    <mergeCell ref="P20:Q20"/>
    <mergeCell ref="T19:U19"/>
  </mergeCells>
  <phoneticPr fontId="43" type="noConversion"/>
  <conditionalFormatting sqref="D24:D25">
    <cfRule type="dataBar" priority="1">
      <dataBar>
        <cfvo type="min"/>
        <cfvo type="max"/>
        <color rgb="FFFF555A"/>
      </dataBar>
      <extLst>
        <ext xmlns:x14="http://schemas.microsoft.com/office/spreadsheetml/2009/9/main" uri="{B025F937-C7B1-47D3-B67F-A62EFF666E3E}">
          <x14:id>{244D1B34-560B-411D-9653-91A04C871740}</x14:id>
        </ext>
      </extLst>
    </cfRule>
  </conditionalFormatting>
  <pageMargins left="0.7" right="0.7" top="0.75" bottom="0.75" header="0.3" footer="0.3"/>
  <ignoredErrors>
    <ignoredError sqref="V15" formula="1"/>
  </ignoredErrors>
  <extLst>
    <ext xmlns:x14="http://schemas.microsoft.com/office/spreadsheetml/2009/9/main" uri="{78C0D931-6437-407d-A8EE-F0AAD7539E65}">
      <x14:conditionalFormattings>
        <x14:conditionalFormatting xmlns:xm="http://schemas.microsoft.com/office/excel/2006/main">
          <x14:cfRule type="dataBar" id="{244D1B34-560B-411D-9653-91A04C871740}">
            <x14:dataBar minLength="0" maxLength="100" gradient="0">
              <x14:cfvo type="autoMin"/>
              <x14:cfvo type="autoMax"/>
              <x14:negativeFillColor rgb="FFFF0000"/>
              <x14:axisColor rgb="FF000000"/>
            </x14:dataBar>
          </x14:cfRule>
          <xm:sqref>D24:D25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vt:i4>
      </vt:variant>
    </vt:vector>
  </HeadingPairs>
  <TitlesOfParts>
    <vt:vector size="11" baseType="lpstr">
      <vt:lpstr>RESUMEN</vt:lpstr>
      <vt:lpstr>CRONOGRAMA</vt:lpstr>
      <vt:lpstr>MATRIZ POR CARGO</vt:lpstr>
      <vt:lpstr>SEGUIMIENTO_PERSONAL</vt:lpstr>
      <vt:lpstr>Hoja1</vt:lpstr>
      <vt:lpstr>INDICADORES</vt:lpstr>
      <vt:lpstr>HC</vt:lpstr>
      <vt:lpstr>INDICADORES!Área_de_impresión</vt:lpstr>
      <vt:lpstr>SEGUIMIENTO_PERSONAL!Área_de_impresión</vt:lpstr>
      <vt:lpstr>MES</vt:lpstr>
      <vt:lpstr>SEGUIMIENTO_PERSONAL!Títulos_a_imprimir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Recursos Humanos</dc:creator>
  <cp:keywords/>
  <dc:description/>
  <cp:lastModifiedBy>Administrativo Uno</cp:lastModifiedBy>
  <cp:revision/>
  <cp:lastPrinted>2026-06-16T13:57:55Z</cp:lastPrinted>
  <dcterms:created xsi:type="dcterms:W3CDTF">2015-07-08T17:28:36Z</dcterms:created>
  <dcterms:modified xsi:type="dcterms:W3CDTF">2026-07-28T16:48:09Z</dcterms:modified>
  <cp:category/>
  <cp:contentStatus/>
</cp:coreProperties>
</file>