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aprendiz.it\Desktop\"/>
    </mc:Choice>
  </mc:AlternateContent>
  <bookViews>
    <workbookView xWindow="0" yWindow="0" windowWidth="28800" windowHeight="12315" tabRatio="500" firstSheet="4" activeTab="4"/>
  </bookViews>
  <sheets>
    <sheet name="1. Datos Generales" sheetId="2" r:id="rId1"/>
    <sheet name="2. Justificación" sheetId="3" r:id="rId2"/>
    <sheet name="3. Alcance y Módulos" sheetId="4" r:id="rId3"/>
    <sheet name="4. Requerimientos Funcionales" sheetId="5" r:id="rId4"/>
    <sheet name="Diagrama de flujo sistema HSEQ" sheetId="11" r:id="rId5"/>
    <sheet name="5. Roles y Responsabilidades" sheetId="6" r:id="rId6"/>
    <sheet name="6. Estimado de Tiempos" sheetId="7" r:id="rId7"/>
    <sheet name="7. Control de Cambios" sheetId="8" r:id="rId8"/>
    <sheet name="8. Aprobación" sheetId="9" r:id="rId9"/>
  </sheet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13" i="7" l="1"/>
  <c r="F12" i="7"/>
  <c r="F11" i="7"/>
  <c r="F10" i="7"/>
  <c r="F9" i="7"/>
  <c r="F8" i="7"/>
  <c r="F7" i="7"/>
  <c r="F6" i="7"/>
  <c r="F5" i="7"/>
  <c r="F4" i="7"/>
  <c r="B17" i="7" s="1"/>
</calcChain>
</file>

<file path=xl/comments1.xml><?xml version="1.0" encoding="utf-8"?>
<comments xmlns="http://schemas.openxmlformats.org/spreadsheetml/2006/main">
  <authors>
    <author>Unknown Author</author>
  </authors>
  <commentList>
    <comment ref="B3" authorId="0" shapeId="0">
      <text>
        <r>
          <rPr>
            <sz val="10"/>
            <rFont val="Arial"/>
            <family val="2"/>
          </rPr>
          <t>Ejemplo: Ej: Módulo de control de activos fijos</t>
        </r>
      </text>
    </comment>
    <comment ref="B5" authorId="0" shapeId="0">
      <text>
        <r>
          <rPr>
            <sz val="10"/>
            <rFont val="Arial"/>
            <family val="2"/>
          </rPr>
          <t>Ejemplo: AAAA-MM-DD</t>
        </r>
      </text>
    </comment>
    <comment ref="B8" authorId="0" shapeId="0">
      <text>
        <r>
          <rPr>
            <sz val="10"/>
            <rFont val="Arial"/>
            <family val="2"/>
          </rPr>
          <t>Ejemplo: Ej: Gerencia de Geociencias</t>
        </r>
      </text>
    </comment>
    <comment ref="B18" authorId="0" shapeId="0">
      <text>
        <r>
          <rPr>
            <sz val="10"/>
            <rFont val="Arial"/>
            <family val="2"/>
          </rPr>
          <t>Ejemplo: Ej: https://github.com/meridian/inventario-activos</t>
        </r>
      </text>
    </comment>
    <comment ref="B19" authorId="0" shapeId="0">
      <text>
        <r>
          <rPr>
            <sz val="10"/>
            <rFont val="Arial"/>
            <family val="2"/>
          </rPr>
          <t>Ejemplo: Ej: Drive/Proyectos/2026/DEV-2026-014</t>
        </r>
      </text>
    </comment>
    <comment ref="B20" authorId="0" shapeId="0">
      <text>
        <r>
          <rPr>
            <sz val="10"/>
            <rFont val="Arial"/>
            <family val="2"/>
          </rPr>
          <t>Ejemplo: Ej: Trello / Jira / Excel de seguimiento</t>
        </r>
      </text>
    </comment>
    <comment ref="B21" authorId="0" shapeId="0">
      <text>
        <r>
          <rPr>
            <sz val="10"/>
            <rFont val="Arial"/>
            <family val="2"/>
          </rPr>
          <t>Ejemplo: Ej: main / develop</t>
        </r>
      </text>
    </comment>
    <comment ref="B22" authorId="0" shapeId="0">
      <text>
        <r>
          <rPr>
            <sz val="10"/>
            <rFont val="Arial"/>
            <family val="2"/>
          </rPr>
          <t>Ejemplo: Ej: Nombre del desarrollador líder</t>
        </r>
      </text>
    </comment>
    <comment ref="B23" authorId="0" shapeId="0">
      <text>
        <r>
          <rPr>
            <sz val="10"/>
            <rFont val="Arial"/>
            <family val="2"/>
          </rPr>
          <t>Ejemplo: Ej: Equipo de desarrollo interno – 2 personas</t>
        </r>
      </text>
    </comment>
  </commentList>
</comments>
</file>

<file path=xl/comments2.xml><?xml version="1.0" encoding="utf-8"?>
<comments xmlns="http://schemas.openxmlformats.org/spreadsheetml/2006/main">
  <authors>
    <author>Unknown Author</author>
  </authors>
  <commentList>
    <comment ref="B5" authorId="0" shapeId="0">
      <text>
        <r>
          <rPr>
            <sz val="10"/>
            <rFont val="Arial"/>
            <family val="2"/>
          </rPr>
          <t>Ejemplo: Ej: El control de activos fijos se lleva en hojas de Excel independientes por cada sede, lo que genera duplicidad de inventario y errores al momento de consolidar la información para auditoría.</t>
        </r>
      </text>
    </comment>
    <comment ref="B9" authorId="0" shapeId="0">
      <text>
        <r>
          <rPr>
            <sz val="10"/>
            <rFont val="Arial"/>
            <family val="2"/>
          </rPr>
          <t>Ejemplo: Ej: Contar con un sistema centralizado que permita registrar, consultar y dar de baja activos fijos desde cualquier sede, con trazabilidad completa.</t>
        </r>
      </text>
    </comment>
    <comment ref="B13" authorId="0" shapeId="0">
      <text>
        <r>
          <rPr>
            <sz val="10"/>
            <rFont val="Arial"/>
            <family val="2"/>
          </rPr>
          <t>Ejemplo: Ej: 1) Registrar activos con código único. 2) Generar reportes de depreciación. 3) Permitir traslados entre sedes con aprobación.</t>
        </r>
      </text>
    </comment>
    <comment ref="B17" authorId="0" shapeId="0">
      <text>
        <r>
          <rPr>
            <sz val="10"/>
            <rFont val="Arial"/>
            <family val="2"/>
          </rPr>
          <t>Ejemplo: Ej: Se mantiene el riesgo de pérdida de activos no registrados y hallazgos en auditorías externas.</t>
        </r>
      </text>
    </comment>
    <comment ref="B21" authorId="0" shapeId="0">
      <text>
        <r>
          <rPr>
            <sz val="10"/>
            <rFont val="Arial"/>
            <family val="2"/>
          </rPr>
          <t>Ejemplo: Ej: Área administrativa y financiera, 12 usuarios aproximadamente en 3 sedes.</t>
        </r>
      </text>
    </comment>
    <comment ref="B25" authorId="0" shapeId="0">
      <text>
        <r>
          <rPr>
            <sz val="10"/>
            <rFont val="Arial"/>
            <family val="2"/>
          </rPr>
          <t>Ejemplo: Ej: Debe integrarse con el sistema contable actual para cruzar la información de depreciación.</t>
        </r>
      </text>
    </comment>
  </commentList>
</comments>
</file>

<file path=xl/comments3.xml><?xml version="1.0" encoding="utf-8"?>
<comments xmlns="http://schemas.openxmlformats.org/spreadsheetml/2006/main">
  <authors>
    <author>Unknown Author</author>
  </authors>
  <commentList>
    <comment ref="B4" authorId="0" shapeId="0">
      <text>
        <r>
          <rPr>
            <sz val="10"/>
            <rFont val="Arial"/>
            <family val="2"/>
          </rPr>
          <t>Describa en un párrafo qué es el sistema en su totalidad, no solo el módulo puntual solicitado. Ej: Sistema web de gestión de activos fijos, compuesto por módulos de registro, depreciación, traslados y reportes.</t>
        </r>
      </text>
    </comment>
    <comment ref="B5" authorId="0" shapeId="0">
      <text>
        <r>
          <rPr>
            <sz val="10"/>
            <rFont val="Arial"/>
            <family val="2"/>
          </rPr>
          <t>Liste explícitamente qué funcionalidades quedan incluidas en este desarrollo.</t>
        </r>
      </text>
    </comment>
    <comment ref="B6" authorId="0" shapeId="0">
      <text>
        <r>
          <rPr>
            <sz val="10"/>
            <rFont val="Arial"/>
            <family val="2"/>
          </rPr>
          <t>Muy importante: liste explícitamente qué NO se va a desarrollar, para evitar cambios de alcance a mitad de proyecto.</t>
        </r>
      </text>
    </comment>
  </commentList>
</comments>
</file>

<file path=xl/sharedStrings.xml><?xml version="1.0" encoding="utf-8"?>
<sst xmlns="http://schemas.openxmlformats.org/spreadsheetml/2006/main" count="346" uniqueCount="256">
  <si>
    <t>1. DATOS GENERALES DE LA SOLICITUD</t>
  </si>
  <si>
    <t>IDENTIFICACIÓN DE LA SOLICITUD</t>
  </si>
  <si>
    <t>Nombre del proyecto / desarrollo</t>
  </si>
  <si>
    <t>Fecha de la solicitud</t>
  </si>
  <si>
    <t>Tipo de solicitud</t>
  </si>
  <si>
    <t>Prioridad</t>
  </si>
  <si>
    <t>Área / dependencia solicitante</t>
  </si>
  <si>
    <t>RESPONSABLES DE LA SOLICITUD</t>
  </si>
  <si>
    <t>Solicitante (nombre completo)</t>
  </si>
  <si>
    <t>Cargo del solicitante</t>
  </si>
  <si>
    <t>Correo / contacto del solicitante</t>
  </si>
  <si>
    <t>Responsable de seguimiento funcional
(quién validará el desarrollo)</t>
  </si>
  <si>
    <t>Líder de desarrollo asignado</t>
  </si>
  <si>
    <t>Analista / desarrollador(es) asignado(s)</t>
  </si>
  <si>
    <t>ALMACENAMIENTO Y CONTROL DEL PROYECTO</t>
  </si>
  <si>
    <t>Repositorio de código (URL/ruta)</t>
  </si>
  <si>
    <t>Repositorio de este documento (URL/ruta)</t>
  </si>
  <si>
    <t>Herramienta de gestión de tareas</t>
  </si>
  <si>
    <t>Ambiente de control de versiones (Git: rama base)</t>
  </si>
  <si>
    <t>Responsable de mantener el repositorio actualizado</t>
  </si>
  <si>
    <t>Quién dará mantenimiento posterior al sistema</t>
  </si>
  <si>
    <t>2. JUSTIFICACIÓN DE LA SOLICITUD</t>
  </si>
  <si>
    <t>Problema o necesidad actual</t>
  </si>
  <si>
    <t>Describa de forma detallada la situación, problema operativo o necesidad que origina esta solicitud. ¿Qué está pasando hoy? ¿Qué se hace manualmente o de forma ineficiente?</t>
  </si>
  <si>
    <t>Objetivo general de la solicitud</t>
  </si>
  <si>
    <t>¿Qué se espera lograr con este desarrollo? Redacte un objetivo claro y medible.</t>
  </si>
  <si>
    <t>Objetivos específicos</t>
  </si>
  <si>
    <t>Liste los objetivos puntuales que debe cumplir el desarrollo (uno por línea).</t>
  </si>
  <si>
    <t>Impacto de NO realizar el desarrollo</t>
  </si>
  <si>
    <t>Explique qué consecuencias operativas, financieras o de riesgo tiene no atender esta solicitud.</t>
  </si>
  <si>
    <t>Beneficiarios / usuarios finales</t>
  </si>
  <si>
    <t>¿Quiénes usarán el sistema resultante? Áreas, cargos o número aproximado de usuarios.</t>
  </si>
  <si>
    <t>Relación con otros sistemas o procesos existentes</t>
  </si>
  <si>
    <t>¿Este desarrollo reemplaza, se integra o convive con otro sistema/proceso actual?</t>
  </si>
  <si>
    <t>3. ALCANCE DEL SISTEMA Y MÓDULOS</t>
  </si>
  <si>
    <t>ALCANCE GENERAL</t>
  </si>
  <si>
    <t>Descripción general del sistema completo</t>
  </si>
  <si>
    <t>Está DENTRO del alcance
(qué SÍ incluye)</t>
  </si>
  <si>
    <t>Está FUERA del alcance
(qué NO incluye)</t>
  </si>
  <si>
    <t>DETALLE DE MÓDULOS DEL SISTEMA</t>
  </si>
  <si>
    <t>N°</t>
  </si>
  <si>
    <t>Nombre del módulo</t>
  </si>
  <si>
    <t>Descripción detallada del módulo</t>
  </si>
  <si>
    <t>Estado actual</t>
  </si>
  <si>
    <t>Observaciones</t>
  </si>
  <si>
    <t>Alta</t>
  </si>
  <si>
    <t>Nuevo</t>
  </si>
  <si>
    <t>4. REQUERIMIENTOS FUNCIONALES DETALLADOS</t>
  </si>
  <si>
    <t>Sea lo más descriptivo posible: entre más claro el requerimiento, menor riesgo de cambio de alcance durante el desarrollo.</t>
  </si>
  <si>
    <t>ID Req.</t>
  </si>
  <si>
    <t>Módulo relacionado</t>
  </si>
  <si>
    <t>Nombre del requerimiento</t>
  </si>
  <si>
    <t>Descripción detallada (qué debe hacer el sistema, paso a paso / regla de negocio)</t>
  </si>
  <si>
    <t>Tipo</t>
  </si>
  <si>
    <t>Criterio de aceptación</t>
  </si>
  <si>
    <t>RF-001</t>
  </si>
  <si>
    <t>Funcional</t>
  </si>
  <si>
    <t>5. ROLES Y RESPONSABILIDADES EN EL SISTEMA</t>
  </si>
  <si>
    <t>Defina TODOS los roles que interactuarán con el sistema, sus permisos y responsabilidades, para tenerlos aprobados desde el inicio.</t>
  </si>
  <si>
    <t>Rol / perfil de usuario</t>
  </si>
  <si>
    <t>Permisos y funcionalidades a las que accede</t>
  </si>
  <si>
    <t>Responsabilidad en el sistema</t>
  </si>
  <si>
    <t>N° de usuarios estimado</t>
  </si>
  <si>
    <t>RESPONSABILIDADES DEL EQUIPO DE DESARROLLO Y NEGOCIO</t>
  </si>
  <si>
    <t>Responsable de pruebas / QA antes de pasar a producción</t>
  </si>
  <si>
    <t>Responsable de capacitar a los usuarios finales</t>
  </si>
  <si>
    <t>Responsable de la documentación técnica del sistema</t>
  </si>
  <si>
    <t>Responsable del soporte post-implementación</t>
  </si>
  <si>
    <t>Periodicidad de mantenimiento/soporte acordada</t>
  </si>
  <si>
    <t>6. ESTIMADO DE TIEMPOS (CRONOGRAMA)</t>
  </si>
  <si>
    <t>Etapa / entregable</t>
  </si>
  <si>
    <t>Responsable</t>
  </si>
  <si>
    <t>Fecha inicio</t>
  </si>
  <si>
    <t>Fecha fin</t>
  </si>
  <si>
    <t>Duración (días hábiles)</t>
  </si>
  <si>
    <t>% de avance</t>
  </si>
  <si>
    <t>Estado</t>
  </si>
  <si>
    <t>Levantamiento y aprobación de requerimientos</t>
  </si>
  <si>
    <t>Solicitante / Líder de desarrollo</t>
  </si>
  <si>
    <t>Diseño técnico y de base de datos</t>
  </si>
  <si>
    <t>Líder de desarrollo</t>
  </si>
  <si>
    <t>Desarrollo backend</t>
  </si>
  <si>
    <t>Desarrollador(es)</t>
  </si>
  <si>
    <t>Desarrollo frontend</t>
  </si>
  <si>
    <t>Pruebas internas (QA)</t>
  </si>
  <si>
    <t>Equipo de desarrollo</t>
  </si>
  <si>
    <t>Pruebas con usuario / UAT</t>
  </si>
  <si>
    <t>Solicitante</t>
  </si>
  <si>
    <t>Ajustes post-pruebas</t>
  </si>
  <si>
    <t>Despliegue a producción</t>
  </si>
  <si>
    <t>Capacitación a usuarios</t>
  </si>
  <si>
    <t>Líder de desarrollo / Solicitante</t>
  </si>
  <si>
    <t>Cierre y entrega de documentación</t>
  </si>
  <si>
    <t>RESUMEN</t>
  </si>
  <si>
    <t>Fecha estimada de inicio del proyecto</t>
  </si>
  <si>
    <t>Fecha estimada de entrega final</t>
  </si>
  <si>
    <t>Duración total estimada (días hábiles)</t>
  </si>
  <si>
    <t>Fecha de aprobación de este cronograma</t>
  </si>
  <si>
    <t>7. CONTROL DE CAMBIOS DE ALCANCE / REQUERIMIENTOS</t>
  </si>
  <si>
    <t>Todo cambio a los requerimientos aprobados en la hoja 4 debe registrarse aquí, con su respectiva justificación y aprobación de Gerencia, antes de ser desarrollado.</t>
  </si>
  <si>
    <t>Fecha</t>
  </si>
  <si>
    <t>ID Req. afectado</t>
  </si>
  <si>
    <t>Descripción del cambio solicitado</t>
  </si>
  <si>
    <t>Justificación del cambio</t>
  </si>
  <si>
    <t>Solicitado por</t>
  </si>
  <si>
    <t>Impacto en tiempo (días)</t>
  </si>
  <si>
    <t>Aprobado por Gerencia (SÍ/NO)</t>
  </si>
  <si>
    <t>8. APROBACIÓN Y FIRMAS</t>
  </si>
  <si>
    <t>Este desarrollo NO debe iniciar sin las firmas/aprobaciones de esta sección.</t>
  </si>
  <si>
    <t>DECLARACIÓN</t>
  </si>
  <si>
    <t>Declaro que la información consignada en este formato refleja de manera completa y detallada los requerimientos, módulos, roles y tiempos del desarrollo solicitado, y entiendo que cualquier cambio posterior deberá surtir el proceso de control de cambios (hoja 7) y contar con nueva aprobación de Gerencia.</t>
  </si>
  <si>
    <t>FIRMAS DE APROBACIÓN</t>
  </si>
  <si>
    <t>Rol</t>
  </si>
  <si>
    <t>Nombre completo</t>
  </si>
  <si>
    <t>Firma / visto bueno</t>
  </si>
  <si>
    <t>Gerencia / aprobador del proyecto</t>
  </si>
  <si>
    <t>Desarrollo nuevo</t>
  </si>
  <si>
    <t>Media</t>
  </si>
  <si>
    <t>HSEQ</t>
  </si>
  <si>
    <t>Luis Miguel Guevara Marles</t>
  </si>
  <si>
    <t>Automatizar el programa de capacitacion con el fin de tener una gestion más efectiva de la documentación de los trabajadores y cumplimiento del plan HSE</t>
  </si>
  <si>
    <t>Programa de capacitación manual (Excel), descargue de soportes manuales y duplicidad de información</t>
  </si>
  <si>
    <t xml:space="preserve">1.Crear una herramienta digital de programa de capacitación.
2. Centralizar de documentos de trabajador o de soportes.
3. Alerta de vencimiento de cursos por trabajador.
4. Panel de administración del cumplimiento del programa.
</t>
  </si>
  <si>
    <t>Perdida de información, no cumplimiento de estandares normativos (ISO, RUC, decreto 1072, Resolución 0312)</t>
  </si>
  <si>
    <t>HSEQ, Gerencia y Gestion Humana</t>
  </si>
  <si>
    <t xml:space="preserve">Reemplazaría la matriz "00_HSEQ_PRG_10_Capacitacion_entrenamiento_Petro", actualizar el procedimiento "GH-P-02_Induccion_reinduccion_capacitacion_entrenamiento", 
</t>
  </si>
  <si>
    <t>Programa de capacitación general para la compañía</t>
  </si>
  <si>
    <t>Todas las capacitaciones que le apliquen a la compañía (HSE, GH, Proyectos) seguimiento</t>
  </si>
  <si>
    <t>Que las personas REALICEN las capacitaciones dentro de la plataforma</t>
  </si>
  <si>
    <t>Inicio de sesion</t>
  </si>
  <si>
    <t xml:space="preserve">Panel de control </t>
  </si>
  <si>
    <t>El panel de control permite ver: 
1. Cumplimiento del programa anual acorde a los indicadores establecidos.
2. Cumplimiento por proceso (Administrativo y proyectos).</t>
  </si>
  <si>
    <t>Cronograma</t>
  </si>
  <si>
    <t xml:space="preserve">Nombres de las capacitaciones su objetivo, hora de dedicación, metologia y fecha </t>
  </si>
  <si>
    <t xml:space="preserve">Alerta </t>
  </si>
  <si>
    <t>Matriz de asignación de capacitaciones</t>
  </si>
  <si>
    <t>El panel debe permitir que se asocien las capacitaciones que aplican por cargo y proceso</t>
  </si>
  <si>
    <t>Panel de control</t>
  </si>
  <si>
    <t>Graficos de consolidado de todos los programas de capacitacion (administrativo y proyectos)</t>
  </si>
  <si>
    <t>RF-002</t>
  </si>
  <si>
    <t xml:space="preserve">Panel 1: Aplica para
todo (suma total de personas de Admon y proyectos)
1. Cumplimiento General Total (ejecutado
sobre lo programado)
2. Cumplimiento Inducciones y
Reinducciones Total (ejecutado sobre lo programado)
3. Cumplimiento tareas Criticas Total (ejecutado
sobre lo programado)
4. Eficacia de Capacitaciones Por Tema
(el promedio de la puntuación general que sacan en las evaluaciones por cada capacitación)
5. Horas de capacitación por Tema ejecutado
6. Filtro trimestral, mensual y anual </t>
  </si>
  <si>
    <t xml:space="preserve">Tablero de cronograma </t>
  </si>
  <si>
    <t xml:space="preserve">Panel General que muestre
1. Tema (nombre de la capacitación)
2.  Objetivo 
3.  Dedicación Estimada (horas).
4.  Metodología (virtual / Presencial).
5.  Mes de programación (debe mostrar la
cantidad).
6. Deben haber filtros por proceso y periodo (Trimestral, mensual y anual).
Nota: debe ser intuitivo y visualmente sencillo de entender, no mostrar la informacion de golpe si no estar seccionado y que se pueda mostrar más
</t>
  </si>
  <si>
    <t>Panel CRUD categorias</t>
  </si>
  <si>
    <t xml:space="preserve">Panel CRUD usuarios </t>
  </si>
  <si>
    <t>RF-003</t>
  </si>
  <si>
    <t xml:space="preserve">Modulo de asginaciones </t>
  </si>
  <si>
    <t>Funcionalidades asginaciones</t>
  </si>
  <si>
    <t>Panel CRUD capacitaciones</t>
  </si>
  <si>
    <t>RF-004</t>
  </si>
  <si>
    <t>Panel de capacitaciones</t>
  </si>
  <si>
    <t>Debe permitir asginar capacitaciones por persona y por vencimiento, permitirle al usuario de HSEQ visualizar los cursos que estan proximos a vencer con 10 dias de anticipacion</t>
  </si>
  <si>
    <t>TOTAL</t>
  </si>
  <si>
    <t>Administrador / HSEQ</t>
  </si>
  <si>
    <t>Puede visualizar toda la información</t>
  </si>
  <si>
    <t>Desarrollador de Software</t>
  </si>
  <si>
    <t>Desarrollador de Software en funcionalidad, pero actualizacion de información seria HSEQ</t>
  </si>
  <si>
    <t>Lider HSEQ</t>
  </si>
  <si>
    <t>HSEQ@meridian.com.co</t>
  </si>
  <si>
    <t xml:space="preserve">José Mateo López Cifuentes </t>
  </si>
  <si>
    <t>Meridian Control</t>
  </si>
  <si>
    <t>José Mateo López Cifuentes y Aprendices IT</t>
  </si>
  <si>
    <t>Sistema de Gestión y Seguimiento del Programa de Capacitación HSEQ</t>
  </si>
  <si>
    <t xml:space="preserve">Luis Miguel Guevara Marles </t>
  </si>
  <si>
    <t>• Autenticación.
• Recuperación o cambio de contraseña.
• Bloqueo de usuarios inactivos.
• Cierre de sesión.</t>
  </si>
  <si>
    <t>Genera una alerta de seguimiento al personal con las capacitaciones que le aplican y se le debe programar por categoria (Administrativo y proyecto) enviado al personal de HSEQ</t>
  </si>
  <si>
    <t xml:space="preserve">Administrar:
• Procesos.
• Áreas.
• Proyectos.
• Cargos.
• Categorías de capacitación.
• Modalidades.
• Tipos de capacitación.
• Tareas críticas.
• Proveedores o capacitadores.
• Ubicaciones.
• Tipos de documento.
• Estados.
• Periodicidades.
• Fuentes normativas.
</t>
  </si>
  <si>
    <t xml:space="preserve">El sistema debe diferenciar entre:
• Usuario: persona que puede iniciar sesión.
• Trabajador: persona a quien se le asignan capacitaciones.
No todos los trabajadores necesariamente deben ser usuarios.
Datos mínimos del trabajador:
• Documento.
• Nombre.
• Correo.
• Cargo.
• Área o proceso.
• Proyecto.
• Fecha de ingreso.
</t>
  </si>
  <si>
    <t xml:space="preserve">Debe definir muchos más campos:
• Código.
• Nombre.
• Objetivo.
• Descripción.
• Categoría.
• Tipo: inducción, reinducción, obligatoria, técnica, tarea crítica, bienestar, etc.
• Modalidad.
• Duración estimada.
• Vigencia.
• Periodicidad de renovación.
• Criticidad.
• Responsable.
• Proveedor.
• Requiere evaluación: sí/no.
• Nota mínima.
• Requiere certificado: sí/no.
• Requiere listado de asistencia: sí/no.
• Fuente normativa.
• Estado activa/inactiva.
• Procesos y cargos a los que aplica.
</t>
  </si>
  <si>
    <t>Reportes y exportaciones</t>
  </si>
  <si>
    <t xml:space="preserve">Además del panel, se requieren reportes descargables:
• Cumplimiento general.
• Cumplimiento por trabajador.
• Cumplimiento por cargo.
• Cumplimiento por proceso.
• Cumplimiento por proyecto.
• Capacitaciones vencidas.
• Próximas a vencer.
• Pendientes.
• Horas de capacitación.
• Asistencia.
• Inducciones y reinducciones.
• Tareas críticas.
• Evidencias faltantes.
• Historial individual del trabajador.
</t>
  </si>
  <si>
    <t>Auditoria</t>
  </si>
  <si>
    <t xml:space="preserve">Debe conservar:
• Quién creó o modificó una capacitación.
• Quién realizó una asignación.
• Quién marcó un cumplimiento.
• Quién cargó o eliminó un soporte.
• Fecha y hora de los cambios.
• Valor anterior y nuevo, cuando sea relevante.
Esto es importante porque el sistema será evidencia de cumplimiento.
</t>
  </si>
  <si>
    <t>Gestión o importación de trabajadores</t>
  </si>
  <si>
    <t>RF-005</t>
  </si>
  <si>
    <t>RF-006</t>
  </si>
  <si>
    <t>RF-007</t>
  </si>
  <si>
    <t>RF-008</t>
  </si>
  <si>
    <t>RF-009</t>
  </si>
  <si>
    <t>Administración de procesos, cargos, proyectos y categorías</t>
  </si>
  <si>
    <t>Configuración de la matriz de aplicabilidad</t>
  </si>
  <si>
    <t>Asignación automática y masiva de capacitaciones</t>
  </si>
  <si>
    <t>Creación y aprobación del plan anual</t>
  </si>
  <si>
    <t>Programación de sesiones de capacitación</t>
  </si>
  <si>
    <t>Registro de convocatoria, asistencia y ausencias</t>
  </si>
  <si>
    <t>RF-011</t>
  </si>
  <si>
    <t>RF-010</t>
  </si>
  <si>
    <t>RF-012</t>
  </si>
  <si>
    <t>RF-013</t>
  </si>
  <si>
    <t>RF-014</t>
  </si>
  <si>
    <t>Registro de cumplimiento individual y masivo</t>
  </si>
  <si>
    <t>Carga y consulta de certificados y soportes</t>
  </si>
  <si>
    <t>Cálculo de vigencias y vencimientos</t>
  </si>
  <si>
    <t>RF-015</t>
  </si>
  <si>
    <t>RF-016</t>
  </si>
  <si>
    <t>RF-017</t>
  </si>
  <si>
    <t>RF-018</t>
  </si>
  <si>
    <t>RF-019</t>
  </si>
  <si>
    <t>RF-020</t>
  </si>
  <si>
    <t>RF-021</t>
  </si>
  <si>
    <t>RF-022</t>
  </si>
  <si>
    <t>Generación de alertas y notificaciones</t>
  </si>
  <si>
    <t>Registro de evaluaciones y eficacia</t>
  </si>
  <si>
    <t>Gestión de inducciones y reinducciones</t>
  </si>
  <si>
    <t>Historial individual del trabajador</t>
  </si>
  <si>
    <t>Auditoría de modificaciones</t>
  </si>
  <si>
    <t>Migración inicial desde la matriz de Excel</t>
  </si>
  <si>
    <t>Inactivación de trabajadores y conservación del historial</t>
  </si>
  <si>
    <t>Creación y configuración de capacitaciones</t>
  </si>
  <si>
    <t>El sistema debe permitir crear una capacitación definiendo, como mínimo: nombre, objetivo, duración estimada (horas), clasificación/categoría, criticidad y estado (activa/inactiva). El formulario debe validar que no se guarde una capacitación sin duración ni criticidad definidas, ya que estos campos alimentan el cálculo de horas ejecutadas (RF-001) y la clasificación de tareas críticas.</t>
  </si>
  <si>
    <t>Panel CRUD usuarios</t>
  </si>
  <si>
    <t>El sistema debe permitir registrar trabajadores de forma individual o mediante carga masiva (Excel/CSV), capturando documento, nombre, correo, cargo, área/proceso, proyecto y fecha de ingreso. En la carga masiva debe validar duplicados por número de documento y mostrar un reporte de errores (filas rechazadas y motivo) sin detener la carga de las filas válidas.</t>
  </si>
  <si>
    <t>Al cargar un archivo con 50 registros donde 5 tienen documento duplicado o campo obligatorio vacío, el sistema importa los 45 válidos y entrega un listado descargable de los 5 rechazados con el motivo.</t>
  </si>
  <si>
    <t>Panel CRUD categorías</t>
  </si>
  <si>
    <t>El sistema debe permitir crear, editar, inactivar y consultar los catálogos maestros: procesos, áreas, proyectos, cargos, categorías de capacitación, modalidades, tipos de capacitación, tareas críticas, proveedores/capacitadores, ubicaciones, tipos de documento, estados y periodicidades. Un catálogo no debe poder eliminarse si tiene registros dependientes (ej. un cargo con trabajadores asociados); en su lugar debe inactivarse.</t>
  </si>
  <si>
    <t>El sistema impide eliminar un cargo con trabajadores asociados y ofrece la opción de inactivarlo; los catálogos inactivos no aparecen como opción al crear nuevos registros pero se conservan en los históricos existentes.</t>
  </si>
  <si>
    <t>El sistema debe permitir definir, por cada combinación de cargo/proceso/proyecto, qué capacitaciones le aplican, con qué periodicidad de renovación y si son obligatorias. La matriz debe permitir asociar una misma capacitación a múltiples cargos a la vez (asociación masiva), y cualquier cambio en la matriz debe quedar disponible para el motor de asignación automática (RF-008).</t>
  </si>
  <si>
    <t>Un usuario HSEQ asocia una capacitación a 3 cargos en una sola acción, y al consultar cualquiera de esos cargos la capacitación aparece como aplicable con su periodicidad definida.</t>
  </si>
  <si>
    <t>Módulo de asignaciones</t>
  </si>
  <si>
    <t>Cuando se registra un trabajador nuevo (RF-005) o cambia de cargo/proceso/proyecto, el sistema debe consultar la matriz de aplicabilidad (RF-007) y asignarle automáticamente las capacitaciones correspondientes, sin intervención manual. Adicionalmente debe permitir asignación masiva manual (ej. seleccionar 20 trabajadores y asignarles una capacitación puntual no cubierta por la matriz).</t>
  </si>
  <si>
    <t>Al registrar un trabajador con cargo "Supervisor HSE", el sistema le asigna automáticamente todas las capacitaciones que la matriz define para ese cargo, visibles de inmediato en su historial individual.</t>
  </si>
  <si>
    <t>El sistema debe permitir a HSEQ consolidar en un plan anual las capacitaciones asignadas (automáticas + manuales) por trimestre/mes, y someter dicho plan a un flujo de aprobación con estados (borrador, en revisión, aprobado). Solo un plan aprobado debe considerarse en los indicadores de "programado" del Panel de control (RF-001).</t>
  </si>
  <si>
    <t>Un plan en estado "borrador" no afecta el indicador de cumplimiento programado; al pasar a "aprobado" sus capacitaciones se reflejan como programadas en el Panel de control y el Cronograma.</t>
  </si>
  <si>
    <t>El sistema debe permitir crear una sesión concreta para una capacitación del plan anual, definiendo fecha, hora, modalidad (virtual/presencial), ubicación o enlace, proveedor/capacitador y cupo máximo. Una sesión debe poder tener varios trabajadores convocados.</t>
  </si>
  <si>
    <t>Al crear una sesión y convocar 15 trabajadores, el sistema no permite superar el cupo máximo definido y la sesión aparece en el Cronograma con su fecha y modalidad.</t>
  </si>
  <si>
    <t>El sistema debe permitir marcar, por sesión, qué trabajadores fueron convocados y cuáles asistieron, llegaron tarde o estuvieron ausentes. Debe quedar registrada la razón de ausencia cuando aplique, ya que la capacitación se ejecuta fuera de la plataforma y HSEQ registra el resultado posteriormente.</t>
  </si>
  <si>
    <t>HSEQ puede marcar la asistencia de los 15 convocados a una sesión en un solo formulario, y los ausentes quedan disponibles para reprogramación sin necesidad de crear un nuevo registro desde cero.</t>
  </si>
  <si>
    <t>El sistema debe permitir marcar una capacitación como completada por un trabajador (individual) o por varios a la vez (masivo), registrando fecha de realización, resultado y horas efectivas. Al marcar cumplimiento, el sistema debe calcular automáticamente la fecha de vencimiento (RF-014) según la periodicidad definida en la matriz.</t>
  </si>
  <si>
    <t>Al registrar cumplimiento masivo para 10 trabajadores de una misma sesión, los 10 quedan marcados como "completado" con su respectiva fecha de vencimiento calculada automáticamente.</t>
  </si>
  <si>
    <t>El sistema debe permitir adjuntar archivos (PDF/imagen) como soporte de cada cumplimiento registrado (certificado, listado de asistencia firmado), y consultarlos posteriormente desde el historial del trabajador o desde reportes de "evidencias faltantes".</t>
  </si>
  <si>
    <t>Un cumplimiento marcado como "requiere certificado" no puede cerrarse como completo si no tiene al menos un archivo adjunto, y ese archivo es descargable desde el historial del trabajador.</t>
  </si>
  <si>
    <t>El sistema debe calcular automáticamente la fecha de vencimiento de cada capacitación completada, sumando a la fecha de realización la periodicidad de renovación definida en la matriz (RF-007). El estado del cumplimiento debe actualizarse automáticamente a "próximo a vencer" o "vencido" según reglas de fecha, sin cálculo manual.</t>
  </si>
  <si>
    <t>Una capacitación con periodicidad anual, completada el 1 de agosto, queda automáticamente con vencimiento el 1 de agosto del año siguiente y cambia a "próximo a vencer" 10 días antes de esa fecha.</t>
  </si>
  <si>
    <t>Alerta</t>
  </si>
  <si>
    <t>El sistema debe generar alertas automáticas cuando una capacitación esté próxima a vencer (10 días de anticipación, según RF-003) y notificarlas al personal de HSEQ dentro del panel de Alertas. Las alertas deben poder filtrarse por proceso, proyecto y cargo.</t>
  </si>
  <si>
    <t>El panel de Alertas lista automáticamente todas las capacitaciones que vencen en los próximos 10 días, sin que HSEQ tenga que generarlas manualmente, y permite filtrarlas por proceso/proyecto.</t>
  </si>
  <si>
    <t>Cuando una capacitación "requiere evaluación" (definido en RF-004), el sistema debe permitir registrar la nota obtenida por cada trabajador y validarla contra la nota mínima aprobatoria. El sistema debe calcular automáticamente el promedio de eficacia por tema (indicador 4 de RF-001) a partir de estas notas.</t>
  </si>
  <si>
    <t>Al registrar notas de evaluación para todos los asistentes de una sesión, el Panel de control (RF-001) actualiza automáticamente el indicador de eficacia de ese tema.</t>
  </si>
  <si>
    <t>l sistema debe tratar las capacitaciones de tipo "inducción" con reglas propias: asignación automática obligatoria a todo trabajador nuevo desde su fecha de ingreso (RF-005), y las de tipo "reinducción" con periodicidad recurrente independiente de la matriz general de cargo.</t>
  </si>
  <si>
    <t>Todo trabajador registrado con fecha de ingreso queda automáticamente asignado a la inducción vigente, sin depender de que su cargo esté en la matriz de aplicabilidad.</t>
  </si>
  <si>
    <t>El sistema debe generar y permitir descargar (Excel/PDF) los reportes definidos en el módulo 9: cumplimiento general, por trabajador, cargo, proceso y proyecto; vencidas, próximas a vencer y pendientes; horas de capacitación; asistencia; inducciones/reinducciones; tareas críticas; y evidencias faltantes.</t>
  </si>
  <si>
    <t>Cada reporte listado puede exportarse a Excel con los filtros aplicados en pantalla (periodo, proceso, proyecto), y los totales del archivo exportado coinciden con lo mostrado en pantalla.</t>
  </si>
  <si>
    <t>El sistema debe mostrar, para cada trabajador, una vista consolidada con todas las capacitaciones asignadas, su estado (pendiente/completada/vencida), fechas, evaluaciones, soportes cargados y cambios de cargo/proceso/proyecto a lo largo del tiempo.</t>
  </si>
  <si>
    <t>Al consultar el historial de un trabajador que ha cambiado dos veces de proyecto, se ven todas sus capacitaciones de ambos periodos, sin pérdida de información anterior.</t>
  </si>
  <si>
    <t>Auditoría</t>
  </si>
  <si>
    <t>El sistema debe registrar automáticamente quién creó/modificó una capacitación, quién realizó una asignación, quién marcó un cumplimiento y quién cargó o eliminó un soporte, guardando usuario, fecha, hora, valor anterior y valor nuevo cuando aplique.</t>
  </si>
  <si>
    <t>Al modificar la fecha de vencimiento de un cumplimiento, el registro de auditoría muestra el valor anterior, el valor nuevo, el usuario y la marca de tiempo exacta del cambio.</t>
  </si>
  <si>
    <t>Panel CRUD usuarios / Panel CRUD categorías</t>
  </si>
  <si>
    <t>El sistema debe permitir cargar, en una única operación inicial, la información existente en la matriz de Excel actual (trabajadores, capacitaciones, matriz de aplicabilidad e histórico de cumplimientos), generando un reporte de inconsistencias para revisión antes de confirmar la carga definitiva.</t>
  </si>
  <si>
    <t>Tras la carga inicial, el número de trabajadores, capacitaciones y registros de cumplimiento en el sistema coincide con el conteo de la matriz de Excel origen, y las inconsistencias detectadas quedan documentadas antes de confirmarse.</t>
  </si>
  <si>
    <t>El sistema debe permitir inactivar (no eliminar) a un trabajador que se retira de la compañía, conservando íntegramente su historial de capacitaciones, asistencias y evaluaciones para fines de auditoría, y excluyéndolo de los indicadores de cumplimiento vigente.</t>
  </si>
  <si>
    <t>Al inactivar un trabajador, este desaparece de los indicadores de cumplimiento activo del Panel de control, pero su historial completo sigue siendo consultable desde RF-019.</t>
  </si>
  <si>
    <t>El panel muestra los 6 elementos definidos (cumplimiento general, inducciones/reinducciones, tareas críticas, eficacia por tema, horas por tema y filtro trimestral/mensual/anual), y las cifras coinciden con los registros de cumplimiento almacenados en el sistema.</t>
  </si>
  <si>
    <t>El cronograma muestra los 6 campos definidos, permite navegar de forma seccionada (no toda la información de golpe), y los filtros por proceso y periodo actualizan correctamente lo visible.</t>
  </si>
  <si>
    <t>El sistema permite asignar una capacitación a un trabajador con fecha de vencimiento asociada, y genera una alerta visible para el usuario HSEQ exactamente 10 días calendario antes del vencimiento, sin intervención manual.</t>
  </si>
  <si>
    <t>Un usuario HSEQ puede crear una capacitación completando los campos obligatorios; el sistema rechaza el guardado si falta duración o criticidad, y la capacitación queda disponible para ser incluida en la matriz de aplicabilidad (RF-007).</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</si>
</sst>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charset val="1"/>
    </font>
    <font>
      <sz val="10"/>
      <name val="Arial"/>
      <family val="2"/>
    </font>
    <font>
      <b/>
      <sz val="16"/>
      <color theme="1"/>
      <name val="Arial"/>
      <family val="2"/>
    </font>
    <font>
      <b/>
      <sz val="12"/>
      <color theme="1"/>
      <name val="Arial"/>
      <family val="2"/>
    </font>
    <font>
      <b/>
      <sz val="10"/>
      <color theme="1"/>
      <name val="Arial"/>
      <family val="2"/>
    </font>
    <font>
      <sz val="10"/>
      <color theme="1"/>
      <name val="Arial"/>
      <family val="2"/>
    </font>
    <font>
      <i/>
      <sz val="9"/>
      <color theme="1"/>
      <name val="Arial"/>
      <family val="2"/>
    </font>
    <font>
      <i/>
      <sz val="11"/>
      <color theme="1"/>
      <name val="Arial"/>
      <family val="2"/>
    </font>
    <font>
      <b/>
      <sz val="11"/>
      <color theme="1"/>
      <name val="Calibri"/>
      <family val="2"/>
      <charset val="1"/>
    </font>
    <font>
      <u/>
      <sz val="11"/>
      <color theme="10"/>
      <name val="Calibri"/>
      <family val="2"/>
      <charset val="1"/>
    </font>
  </fonts>
  <fills count="2">
    <fill>
      <patternFill patternType="none"/>
    </fill>
    <fill>
      <patternFill patternType="gray125"/>
    </fill>
  </fills>
  <borders count="6">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color rgb="FFBFBFBF"/>
      </left>
      <right/>
      <top style="thin">
        <color rgb="FFBFBFBF"/>
      </top>
      <bottom/>
      <diagonal/>
    </border>
    <border>
      <left/>
      <right/>
      <top style="thin">
        <color rgb="FFBFBFBF"/>
      </top>
      <bottom style="thin">
        <color rgb="FFBFBFBF"/>
      </bottom>
      <diagonal/>
    </border>
    <border>
      <left/>
      <right/>
      <top/>
      <bottom style="thin">
        <color rgb="FFBFBFBF"/>
      </bottom>
      <diagonal/>
    </border>
  </borders>
  <cellStyleXfs count="2">
    <xf numFmtId="0" fontId="0" fillId="0" borderId="0"/>
    <xf numFmtId="0" fontId="9" fillId="0" borderId="0" applyNumberFormat="0" applyFill="0" applyBorder="0" applyAlignment="0" applyProtection="0"/>
  </cellStyleXfs>
  <cellXfs count="25">
    <xf numFmtId="0" fontId="0" fillId="0" borderId="0" xfId="0"/>
    <xf numFmtId="0" fontId="0" fillId="0" borderId="0" xfId="0" applyFont="1" applyFill="1"/>
    <xf numFmtId="0" fontId="4" fillId="0" borderId="1" xfId="0" applyFont="1" applyFill="1" applyBorder="1" applyAlignment="1">
      <alignment horizontal="left" vertical="top" wrapText="1"/>
    </xf>
    <xf numFmtId="0" fontId="5" fillId="0" borderId="1" xfId="0" applyFont="1" applyFill="1" applyBorder="1" applyAlignment="1">
      <alignment horizontal="left" vertical="top" wrapText="1"/>
    </xf>
    <xf numFmtId="0" fontId="6" fillId="0" borderId="1" xfId="0" applyFont="1" applyFill="1" applyBorder="1" applyAlignment="1">
      <alignment horizontal="left" vertical="top" wrapText="1"/>
    </xf>
    <xf numFmtId="0" fontId="0" fillId="0" borderId="1" xfId="0" applyFont="1" applyFill="1" applyBorder="1"/>
    <xf numFmtId="0" fontId="4" fillId="0" borderId="1" xfId="0" applyFont="1" applyFill="1" applyBorder="1" applyAlignment="1">
      <alignment horizontal="center" vertical="center" wrapText="1"/>
    </xf>
    <xf numFmtId="0" fontId="5" fillId="0" borderId="1" xfId="0" applyFont="1" applyFill="1" applyBorder="1" applyAlignment="1">
      <alignment horizontal="center" vertical="center"/>
    </xf>
    <xf numFmtId="9" fontId="5" fillId="0" borderId="1" xfId="0" applyNumberFormat="1" applyFont="1" applyFill="1" applyBorder="1" applyAlignment="1">
      <alignment horizontal="left" vertical="top" wrapText="1"/>
    </xf>
    <xf numFmtId="0" fontId="5" fillId="0" borderId="1" xfId="0" applyFont="1" applyFill="1" applyBorder="1"/>
    <xf numFmtId="14" fontId="5" fillId="0" borderId="1" xfId="0" applyNumberFormat="1" applyFont="1" applyFill="1" applyBorder="1" applyAlignment="1">
      <alignment horizontal="left" vertical="top" wrapText="1"/>
    </xf>
    <xf numFmtId="0" fontId="8" fillId="0" borderId="0" xfId="0" applyFont="1" applyFill="1"/>
    <xf numFmtId="0" fontId="4" fillId="0" borderId="5" xfId="0" applyFont="1" applyFill="1" applyBorder="1" applyAlignment="1">
      <alignment horizontal="left" vertical="top" wrapText="1"/>
    </xf>
    <xf numFmtId="0" fontId="5" fillId="0" borderId="5" xfId="0" applyFont="1" applyFill="1" applyBorder="1" applyAlignment="1">
      <alignment horizontal="left" vertical="top" wrapText="1"/>
    </xf>
    <xf numFmtId="0" fontId="5" fillId="0" borderId="2" xfId="0" applyFont="1" applyFill="1" applyBorder="1" applyAlignment="1">
      <alignment horizontal="left" vertical="top" wrapText="1"/>
    </xf>
    <xf numFmtId="0" fontId="5" fillId="0" borderId="4" xfId="0" applyFont="1" applyFill="1" applyBorder="1" applyAlignment="1">
      <alignment horizontal="left" vertical="top" wrapText="1"/>
    </xf>
    <xf numFmtId="0" fontId="3" fillId="0" borderId="5" xfId="0" applyFont="1" applyFill="1" applyBorder="1" applyAlignment="1">
      <alignment horizontal="left" vertical="center" indent="1"/>
    </xf>
    <xf numFmtId="0" fontId="2" fillId="0" borderId="0" xfId="0" applyFont="1" applyFill="1" applyBorder="1" applyAlignment="1">
      <alignment horizontal="center" vertical="center"/>
    </xf>
    <xf numFmtId="0" fontId="3" fillId="0" borderId="0" xfId="0" applyFont="1" applyFill="1" applyBorder="1" applyAlignment="1">
      <alignment horizontal="left" vertical="center" indent="1"/>
    </xf>
    <xf numFmtId="0" fontId="9" fillId="0" borderId="2" xfId="1" applyFill="1" applyBorder="1" applyAlignment="1">
      <alignment horizontal="left" vertical="top" wrapText="1"/>
    </xf>
    <xf numFmtId="0" fontId="9" fillId="0" borderId="4" xfId="1" applyFill="1" applyBorder="1" applyAlignment="1">
      <alignment horizontal="left" vertical="top" wrapText="1"/>
    </xf>
    <xf numFmtId="0" fontId="3" fillId="0" borderId="4" xfId="0" applyFont="1" applyFill="1" applyBorder="1" applyAlignment="1">
      <alignment horizontal="left" vertical="center" indent="1"/>
    </xf>
    <xf numFmtId="0" fontId="7" fillId="0" borderId="0" xfId="0" applyFont="1" applyFill="1" applyBorder="1"/>
    <xf numFmtId="0" fontId="5" fillId="0" borderId="2" xfId="0" applyFont="1" applyFill="1" applyBorder="1"/>
    <xf numFmtId="0" fontId="5" fillId="0" borderId="3" xfId="0" applyFont="1" applyFill="1" applyBorder="1" applyAlignment="1">
      <alignment horizontal="left" vertical="top" wrapText="1"/>
    </xf>
  </cellXfs>
  <cellStyles count="2">
    <cellStyle name="Hipervínculo"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39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476250</xdr:colOff>
      <xdr:row>0</xdr:row>
      <xdr:rowOff>28575</xdr:rowOff>
    </xdr:from>
    <xdr:to>
      <xdr:col>8</xdr:col>
      <xdr:colOff>595402</xdr:colOff>
      <xdr:row>52</xdr:row>
      <xdr:rowOff>180975</xdr:rowOff>
    </xdr:to>
    <xdr:pic>
      <xdr:nvPicPr>
        <xdr:cNvPr id="2" name="Imagen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0" y="28575"/>
          <a:ext cx="6215152" cy="10058400"/>
        </a:xfrm>
        <a:prstGeom prst="rect">
          <a:avLst/>
        </a:prstGeom>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mailto:HSEQ@meridian.com.co"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24"/>
  <sheetViews>
    <sheetView showGridLines="0" topLeftCell="A7" zoomScale="130" zoomScaleNormal="130" workbookViewId="0">
      <selection activeCell="B19" sqref="B19:E19"/>
    </sheetView>
  </sheetViews>
  <sheetFormatPr baseColWidth="10" defaultColWidth="8.7109375" defaultRowHeight="15" x14ac:dyDescent="0.25"/>
  <cols>
    <col min="1" max="1" width="40.85546875" style="1" customWidth="1"/>
    <col min="2" max="2" width="41" style="1" customWidth="1"/>
    <col min="3" max="3" width="30" style="1" customWidth="1"/>
    <col min="4" max="4" width="26" style="1" customWidth="1"/>
    <col min="5" max="5" width="30" style="1" customWidth="1"/>
    <col min="6" max="16384" width="8.7109375" style="1"/>
  </cols>
  <sheetData>
    <row r="1" spans="1:5" ht="27.75" customHeight="1" x14ac:dyDescent="0.25">
      <c r="A1" s="17" t="s">
        <v>0</v>
      </c>
      <c r="B1" s="17"/>
      <c r="C1" s="17"/>
      <c r="D1" s="17"/>
      <c r="E1" s="17"/>
    </row>
    <row r="2" spans="1:5" ht="26.25" customHeight="1" x14ac:dyDescent="0.25">
      <c r="A2" s="18" t="s">
        <v>1</v>
      </c>
      <c r="B2" s="18"/>
      <c r="C2" s="18"/>
      <c r="D2" s="18"/>
      <c r="E2" s="18"/>
    </row>
    <row r="3" spans="1:5" ht="25.5" x14ac:dyDescent="0.25">
      <c r="A3" s="2" t="s">
        <v>2</v>
      </c>
      <c r="B3" s="3" t="s">
        <v>162</v>
      </c>
    </row>
    <row r="4" spans="1:5" x14ac:dyDescent="0.25">
      <c r="C4"/>
      <c r="D4"/>
    </row>
    <row r="5" spans="1:5" x14ac:dyDescent="0.25">
      <c r="A5" s="2" t="s">
        <v>3</v>
      </c>
      <c r="B5" s="10">
        <v>46232</v>
      </c>
    </row>
    <row r="6" spans="1:5" x14ac:dyDescent="0.25">
      <c r="A6" s="2" t="s">
        <v>4</v>
      </c>
      <c r="B6" s="3" t="s">
        <v>116</v>
      </c>
    </row>
    <row r="7" spans="1:5" x14ac:dyDescent="0.25">
      <c r="A7" s="2" t="s">
        <v>5</v>
      </c>
      <c r="B7" s="3" t="s">
        <v>117</v>
      </c>
    </row>
    <row r="8" spans="1:5" ht="23.25" customHeight="1" x14ac:dyDescent="0.25">
      <c r="A8" s="2" t="s">
        <v>6</v>
      </c>
      <c r="B8" s="3" t="s">
        <v>118</v>
      </c>
    </row>
    <row r="9" spans="1:5" x14ac:dyDescent="0.25">
      <c r="A9" s="12"/>
      <c r="B9" s="13"/>
    </row>
    <row r="10" spans="1:5" ht="19.5" customHeight="1" x14ac:dyDescent="0.25">
      <c r="A10" s="16" t="s">
        <v>7</v>
      </c>
      <c r="B10" s="16"/>
      <c r="C10" s="16"/>
      <c r="D10" s="16"/>
      <c r="E10" s="16"/>
    </row>
    <row r="11" spans="1:5" ht="32.25" customHeight="1" x14ac:dyDescent="0.25">
      <c r="A11" s="2" t="s">
        <v>8</v>
      </c>
      <c r="B11" s="14" t="s">
        <v>119</v>
      </c>
      <c r="C11" s="15"/>
      <c r="D11" s="15"/>
      <c r="E11" s="15"/>
    </row>
    <row r="12" spans="1:5" ht="38.25" customHeight="1" x14ac:dyDescent="0.25">
      <c r="A12" s="2" t="s">
        <v>9</v>
      </c>
      <c r="B12" s="14" t="s">
        <v>157</v>
      </c>
      <c r="C12" s="15"/>
      <c r="D12" s="15"/>
      <c r="E12" s="15"/>
    </row>
    <row r="13" spans="1:5" ht="27.75" customHeight="1" x14ac:dyDescent="0.25">
      <c r="A13" s="2" t="s">
        <v>10</v>
      </c>
      <c r="B13" s="19" t="s">
        <v>158</v>
      </c>
      <c r="C13" s="20"/>
      <c r="D13" s="20"/>
      <c r="E13" s="20"/>
    </row>
    <row r="14" spans="1:5" ht="27.75" customHeight="1" x14ac:dyDescent="0.25">
      <c r="A14" s="2" t="s">
        <v>11</v>
      </c>
      <c r="B14" s="14" t="s">
        <v>163</v>
      </c>
      <c r="C14" s="15"/>
      <c r="D14" s="15"/>
      <c r="E14" s="15"/>
    </row>
    <row r="15" spans="1:5" ht="21.75" customHeight="1" x14ac:dyDescent="0.25">
      <c r="A15" s="2" t="s">
        <v>12</v>
      </c>
      <c r="B15" s="14" t="s">
        <v>159</v>
      </c>
      <c r="C15" s="15"/>
      <c r="D15" s="15"/>
      <c r="E15" s="15"/>
    </row>
    <row r="16" spans="1:5" ht="31.5" customHeight="1" x14ac:dyDescent="0.25">
      <c r="A16" s="2" t="s">
        <v>13</v>
      </c>
      <c r="B16" s="14" t="s">
        <v>161</v>
      </c>
      <c r="C16" s="15"/>
      <c r="D16" s="15"/>
      <c r="E16" s="15"/>
    </row>
    <row r="17" spans="1:5" ht="19.5" customHeight="1" x14ac:dyDescent="0.25">
      <c r="A17" s="21" t="s">
        <v>14</v>
      </c>
      <c r="B17" s="21"/>
      <c r="C17" s="21"/>
      <c r="D17" s="21"/>
      <c r="E17" s="21"/>
    </row>
    <row r="18" spans="1:5" x14ac:dyDescent="0.25">
      <c r="A18" s="2" t="s">
        <v>15</v>
      </c>
      <c r="B18" s="14"/>
      <c r="C18" s="15"/>
      <c r="D18" s="15"/>
      <c r="E18" s="15"/>
    </row>
    <row r="19" spans="1:5" x14ac:dyDescent="0.25">
      <c r="A19" s="2" t="s">
        <v>16</v>
      </c>
      <c r="B19" s="14"/>
      <c r="C19" s="15"/>
      <c r="D19" s="15"/>
      <c r="E19" s="15"/>
    </row>
    <row r="20" spans="1:5" x14ac:dyDescent="0.25">
      <c r="A20" s="2" t="s">
        <v>17</v>
      </c>
      <c r="B20" s="14" t="s">
        <v>160</v>
      </c>
      <c r="C20" s="15"/>
      <c r="D20" s="15"/>
      <c r="E20" s="15"/>
    </row>
    <row r="21" spans="1:5" ht="25.5" x14ac:dyDescent="0.25">
      <c r="A21" s="2" t="s">
        <v>18</v>
      </c>
      <c r="B21" s="14"/>
      <c r="C21" s="15"/>
      <c r="D21" s="15"/>
      <c r="E21" s="15"/>
    </row>
    <row r="22" spans="1:5" ht="25.5" x14ac:dyDescent="0.25">
      <c r="A22" s="2" t="s">
        <v>19</v>
      </c>
      <c r="B22" s="14"/>
      <c r="C22" s="15"/>
      <c r="D22" s="15"/>
      <c r="E22" s="15"/>
    </row>
    <row r="23" spans="1:5" ht="25.5" x14ac:dyDescent="0.25">
      <c r="A23" s="2" t="s">
        <v>20</v>
      </c>
      <c r="B23" s="14"/>
      <c r="C23" s="15"/>
      <c r="D23" s="15"/>
      <c r="E23" s="15"/>
    </row>
    <row r="24" spans="1:5" x14ac:dyDescent="0.25">
      <c r="A24" s="11"/>
    </row>
  </sheetData>
  <mergeCells count="16">
    <mergeCell ref="B23:E23"/>
    <mergeCell ref="B18:E18"/>
    <mergeCell ref="B19:E19"/>
    <mergeCell ref="B20:E20"/>
    <mergeCell ref="B21:E21"/>
    <mergeCell ref="B22:E22"/>
    <mergeCell ref="B13:E13"/>
    <mergeCell ref="B14:E14"/>
    <mergeCell ref="B15:E15"/>
    <mergeCell ref="B16:E16"/>
    <mergeCell ref="A17:E17"/>
    <mergeCell ref="B12:E12"/>
    <mergeCell ref="B11:E11"/>
    <mergeCell ref="A10:E10"/>
    <mergeCell ref="A1:E1"/>
    <mergeCell ref="A2:E2"/>
  </mergeCells>
  <dataValidations count="2">
    <dataValidation type="list" allowBlank="1" sqref="B6">
      <formula1>"Desarrollo nuevo,Modificación / mejora,Mantenimiento correctivo,Integración con otro sistema,Reporte / Dashboard"</formula1>
      <formula2>0</formula2>
    </dataValidation>
    <dataValidation type="list" allowBlank="1" sqref="B7">
      <formula1>"Crítica,Alta,Media,Baja"</formula1>
      <formula2>0</formula2>
    </dataValidation>
  </dataValidations>
  <hyperlinks>
    <hyperlink ref="B13" r:id="rId1"/>
  </hyperlinks>
  <pageMargins left="0.75" right="0.75" top="1" bottom="1" header="0.511811023622047" footer="0.511811023622047"/>
  <pageSetup paperSize="9" orientation="portrait" horizontalDpi="300" verticalDpi="300"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25"/>
  <sheetViews>
    <sheetView showGridLines="0" zoomScale="145" zoomScaleNormal="145" workbookViewId="0">
      <selection activeCell="B5" sqref="B5"/>
    </sheetView>
  </sheetViews>
  <sheetFormatPr baseColWidth="10" defaultColWidth="8.7109375" defaultRowHeight="15" x14ac:dyDescent="0.25"/>
  <cols>
    <col min="1" max="1" width="3" style="1" customWidth="1"/>
    <col min="2" max="2" width="100" style="1" customWidth="1"/>
    <col min="3" max="16384" width="8.7109375" style="1"/>
  </cols>
  <sheetData>
    <row r="1" spans="1:2" ht="27.75" customHeight="1" x14ac:dyDescent="0.25">
      <c r="A1" s="17" t="s">
        <v>21</v>
      </c>
      <c r="B1" s="17"/>
    </row>
    <row r="3" spans="1:2" ht="18" customHeight="1" x14ac:dyDescent="0.25">
      <c r="A3" s="18" t="s">
        <v>22</v>
      </c>
      <c r="B3" s="18"/>
    </row>
    <row r="4" spans="1:2" ht="30" customHeight="1" x14ac:dyDescent="0.25">
      <c r="A4" s="3"/>
      <c r="B4" s="4" t="s">
        <v>23</v>
      </c>
    </row>
    <row r="5" spans="1:2" ht="69.75" customHeight="1" x14ac:dyDescent="0.25">
      <c r="A5" s="5"/>
      <c r="B5" s="3" t="s">
        <v>121</v>
      </c>
    </row>
    <row r="7" spans="1:2" ht="18" customHeight="1" x14ac:dyDescent="0.25">
      <c r="A7" s="18" t="s">
        <v>24</v>
      </c>
      <c r="B7" s="18"/>
    </row>
    <row r="8" spans="1:2" ht="30" customHeight="1" x14ac:dyDescent="0.25">
      <c r="A8" s="3"/>
      <c r="B8" s="4" t="s">
        <v>25</v>
      </c>
    </row>
    <row r="9" spans="1:2" ht="69.75" customHeight="1" x14ac:dyDescent="0.25">
      <c r="A9" s="5"/>
      <c r="B9" s="3" t="s">
        <v>120</v>
      </c>
    </row>
    <row r="11" spans="1:2" ht="18" customHeight="1" x14ac:dyDescent="0.25">
      <c r="A11" s="18" t="s">
        <v>26</v>
      </c>
      <c r="B11" s="18"/>
    </row>
    <row r="12" spans="1:2" ht="30" customHeight="1" x14ac:dyDescent="0.25">
      <c r="A12" s="3"/>
      <c r="B12" s="4" t="s">
        <v>27</v>
      </c>
    </row>
    <row r="13" spans="1:2" ht="69.75" customHeight="1" x14ac:dyDescent="0.25">
      <c r="A13" s="5"/>
      <c r="B13" s="3" t="s">
        <v>122</v>
      </c>
    </row>
    <row r="15" spans="1:2" ht="18" customHeight="1" x14ac:dyDescent="0.25">
      <c r="A15" s="18" t="s">
        <v>28</v>
      </c>
      <c r="B15" s="18"/>
    </row>
    <row r="16" spans="1:2" ht="30" customHeight="1" x14ac:dyDescent="0.25">
      <c r="A16" s="3"/>
      <c r="B16" s="4" t="s">
        <v>29</v>
      </c>
    </row>
    <row r="17" spans="1:2" ht="69.75" customHeight="1" x14ac:dyDescent="0.25">
      <c r="A17" s="5"/>
      <c r="B17" s="3" t="s">
        <v>123</v>
      </c>
    </row>
    <row r="19" spans="1:2" ht="18" customHeight="1" x14ac:dyDescent="0.25">
      <c r="A19" s="18" t="s">
        <v>30</v>
      </c>
      <c r="B19" s="18"/>
    </row>
    <row r="20" spans="1:2" ht="30" customHeight="1" x14ac:dyDescent="0.25">
      <c r="A20" s="3"/>
      <c r="B20" s="4" t="s">
        <v>31</v>
      </c>
    </row>
    <row r="21" spans="1:2" ht="69.75" customHeight="1" x14ac:dyDescent="0.25">
      <c r="A21" s="5"/>
      <c r="B21" s="3" t="s">
        <v>124</v>
      </c>
    </row>
    <row r="23" spans="1:2" ht="18" customHeight="1" x14ac:dyDescent="0.25">
      <c r="A23" s="18" t="s">
        <v>32</v>
      </c>
      <c r="B23" s="18"/>
    </row>
    <row r="24" spans="1:2" ht="30" customHeight="1" x14ac:dyDescent="0.25">
      <c r="A24" s="3"/>
      <c r="B24" s="4" t="s">
        <v>33</v>
      </c>
    </row>
    <row r="25" spans="1:2" ht="69.75" customHeight="1" x14ac:dyDescent="0.25">
      <c r="A25" s="5"/>
      <c r="B25" s="3" t="s">
        <v>125</v>
      </c>
    </row>
  </sheetData>
  <mergeCells count="7">
    <mergeCell ref="A19:B19"/>
    <mergeCell ref="A23:B23"/>
    <mergeCell ref="A1:B1"/>
    <mergeCell ref="A3:B3"/>
    <mergeCell ref="A7:B7"/>
    <mergeCell ref="A11:B11"/>
    <mergeCell ref="A15:B15"/>
  </mergeCells>
  <pageMargins left="0.75" right="0.75" top="1" bottom="1"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19"/>
  <sheetViews>
    <sheetView showGridLines="0" topLeftCell="A7" zoomScaleNormal="100" workbookViewId="0">
      <selection activeCell="C54" sqref="C54"/>
    </sheetView>
  </sheetViews>
  <sheetFormatPr baseColWidth="10" defaultColWidth="8.7109375" defaultRowHeight="15" x14ac:dyDescent="0.25"/>
  <cols>
    <col min="1" max="1" width="17.5703125" style="1" customWidth="1"/>
    <col min="2" max="2" width="28.42578125" style="1" customWidth="1"/>
    <col min="3" max="3" width="42.28515625" style="1" customWidth="1"/>
    <col min="4" max="4" width="22" style="1" customWidth="1"/>
    <col min="5" max="5" width="20" style="1" customWidth="1"/>
    <col min="6" max="6" width="22" style="1" customWidth="1"/>
    <col min="7" max="16384" width="8.7109375" style="1"/>
  </cols>
  <sheetData>
    <row r="1" spans="1:6" ht="20.25" x14ac:dyDescent="0.25">
      <c r="A1" s="17" t="s">
        <v>34</v>
      </c>
      <c r="B1" s="17"/>
      <c r="C1" s="17"/>
      <c r="D1" s="17"/>
      <c r="E1" s="17"/>
      <c r="F1" s="17"/>
    </row>
    <row r="3" spans="1:6" ht="15.75" x14ac:dyDescent="0.25">
      <c r="A3" s="18" t="s">
        <v>35</v>
      </c>
      <c r="B3" s="18"/>
      <c r="C3" s="18"/>
      <c r="D3" s="18"/>
      <c r="E3" s="18"/>
      <c r="F3" s="18"/>
    </row>
    <row r="4" spans="1:6" ht="38.25" x14ac:dyDescent="0.25">
      <c r="A4" s="2" t="s">
        <v>36</v>
      </c>
      <c r="B4" s="14" t="s">
        <v>126</v>
      </c>
      <c r="C4" s="14"/>
      <c r="D4" s="14"/>
      <c r="E4" s="14"/>
      <c r="F4" s="14"/>
    </row>
    <row r="5" spans="1:6" ht="38.25" x14ac:dyDescent="0.25">
      <c r="A5" s="2" t="s">
        <v>37</v>
      </c>
      <c r="B5" s="14" t="s">
        <v>127</v>
      </c>
      <c r="C5" s="14"/>
      <c r="D5" s="14"/>
      <c r="E5" s="14"/>
      <c r="F5" s="14"/>
    </row>
    <row r="6" spans="1:6" ht="38.25" x14ac:dyDescent="0.25">
      <c r="A6" s="2" t="s">
        <v>38</v>
      </c>
      <c r="B6" s="14" t="s">
        <v>128</v>
      </c>
      <c r="C6" s="14"/>
      <c r="D6" s="14"/>
      <c r="E6" s="14"/>
      <c r="F6" s="14"/>
    </row>
    <row r="8" spans="1:6" ht="15.75" x14ac:dyDescent="0.25">
      <c r="A8" s="18" t="s">
        <v>39</v>
      </c>
      <c r="B8" s="18"/>
      <c r="C8" s="18"/>
      <c r="D8" s="18"/>
      <c r="E8" s="18"/>
      <c r="F8" s="18"/>
    </row>
    <row r="9" spans="1:6" x14ac:dyDescent="0.25">
      <c r="A9" s="6" t="s">
        <v>40</v>
      </c>
      <c r="B9" s="6" t="s">
        <v>41</v>
      </c>
      <c r="C9" s="6" t="s">
        <v>42</v>
      </c>
      <c r="D9" s="6" t="s">
        <v>5</v>
      </c>
      <c r="E9" s="6" t="s">
        <v>43</v>
      </c>
      <c r="F9" s="6" t="s">
        <v>44</v>
      </c>
    </row>
    <row r="10" spans="1:6" ht="78" customHeight="1" x14ac:dyDescent="0.25">
      <c r="A10" s="4">
        <v>1</v>
      </c>
      <c r="B10" s="3" t="s">
        <v>129</v>
      </c>
      <c r="C10" s="4" t="s">
        <v>164</v>
      </c>
      <c r="D10" s="4" t="s">
        <v>117</v>
      </c>
      <c r="E10" s="3" t="s">
        <v>46</v>
      </c>
      <c r="F10" s="4"/>
    </row>
    <row r="11" spans="1:6" ht="69.75" customHeight="1" x14ac:dyDescent="0.25">
      <c r="A11" s="3">
        <v>2</v>
      </c>
      <c r="B11" s="3" t="s">
        <v>130</v>
      </c>
      <c r="C11" s="3" t="s">
        <v>131</v>
      </c>
      <c r="D11" s="3" t="s">
        <v>45</v>
      </c>
      <c r="E11" s="3" t="s">
        <v>46</v>
      </c>
      <c r="F11" s="3"/>
    </row>
    <row r="12" spans="1:6" ht="25.5" x14ac:dyDescent="0.25">
      <c r="A12" s="3">
        <v>3</v>
      </c>
      <c r="B12" s="3" t="s">
        <v>132</v>
      </c>
      <c r="C12" s="3" t="s">
        <v>133</v>
      </c>
      <c r="D12" s="3" t="s">
        <v>117</v>
      </c>
      <c r="E12" s="3" t="s">
        <v>46</v>
      </c>
      <c r="F12" s="3"/>
    </row>
    <row r="13" spans="1:6" ht="94.5" customHeight="1" x14ac:dyDescent="0.25">
      <c r="A13" s="3">
        <v>4</v>
      </c>
      <c r="B13" s="3" t="s">
        <v>134</v>
      </c>
      <c r="C13" s="3" t="s">
        <v>165</v>
      </c>
      <c r="D13" s="3" t="s">
        <v>45</v>
      </c>
      <c r="E13" s="3" t="s">
        <v>46</v>
      </c>
      <c r="F13" s="3"/>
    </row>
    <row r="14" spans="1:6" ht="69.75" customHeight="1" x14ac:dyDescent="0.25">
      <c r="A14" s="3">
        <v>5</v>
      </c>
      <c r="B14" s="3" t="s">
        <v>135</v>
      </c>
      <c r="C14" s="3" t="s">
        <v>136</v>
      </c>
      <c r="D14" s="3" t="s">
        <v>45</v>
      </c>
      <c r="E14" s="3" t="s">
        <v>46</v>
      </c>
      <c r="F14" s="3"/>
    </row>
    <row r="15" spans="1:6" ht="204" x14ac:dyDescent="0.25">
      <c r="A15" s="3">
        <v>6</v>
      </c>
      <c r="B15" s="3" t="s">
        <v>143</v>
      </c>
      <c r="C15" s="3" t="s">
        <v>166</v>
      </c>
      <c r="D15" s="3" t="s">
        <v>45</v>
      </c>
      <c r="E15" s="3" t="s">
        <v>46</v>
      </c>
      <c r="F15" s="3"/>
    </row>
    <row r="16" spans="1:6" ht="193.5" customHeight="1" x14ac:dyDescent="0.25">
      <c r="A16" s="3">
        <v>7</v>
      </c>
      <c r="B16" s="3" t="s">
        <v>144</v>
      </c>
      <c r="C16" s="3" t="s">
        <v>167</v>
      </c>
      <c r="D16" s="3" t="s">
        <v>45</v>
      </c>
      <c r="E16" s="3" t="s">
        <v>46</v>
      </c>
      <c r="F16" s="3"/>
    </row>
    <row r="17" spans="1:6" ht="293.25" x14ac:dyDescent="0.25">
      <c r="A17" s="3">
        <v>8</v>
      </c>
      <c r="B17" s="3" t="s">
        <v>148</v>
      </c>
      <c r="C17" s="3" t="s">
        <v>168</v>
      </c>
      <c r="D17" s="3" t="s">
        <v>45</v>
      </c>
      <c r="E17" s="3" t="s">
        <v>46</v>
      </c>
      <c r="F17" s="3"/>
    </row>
    <row r="18" spans="1:6" ht="216.75" x14ac:dyDescent="0.25">
      <c r="A18" s="3">
        <v>9</v>
      </c>
      <c r="B18" s="3" t="s">
        <v>169</v>
      </c>
      <c r="C18" s="3" t="s">
        <v>170</v>
      </c>
      <c r="D18" s="3"/>
      <c r="E18" s="3" t="s">
        <v>46</v>
      </c>
      <c r="F18" s="3"/>
    </row>
    <row r="19" spans="1:6" ht="127.5" x14ac:dyDescent="0.25">
      <c r="A19" s="3">
        <v>10</v>
      </c>
      <c r="B19" s="3" t="s">
        <v>171</v>
      </c>
      <c r="C19" s="3" t="s">
        <v>172</v>
      </c>
      <c r="D19" s="3"/>
      <c r="E19" s="3" t="s">
        <v>46</v>
      </c>
      <c r="F19" s="3"/>
    </row>
  </sheetData>
  <mergeCells count="6">
    <mergeCell ref="A8:F8"/>
    <mergeCell ref="A1:F1"/>
    <mergeCell ref="A3:F3"/>
    <mergeCell ref="B4:F4"/>
    <mergeCell ref="B5:F5"/>
    <mergeCell ref="B6:F6"/>
  </mergeCells>
  <dataValidations count="2">
    <dataValidation type="list" allowBlank="1" sqref="D10:D19">
      <formula1>"Crítica,Alta,Media,Baja"</formula1>
      <formula2>0</formula2>
    </dataValidation>
    <dataValidation type="list" allowBlank="1" sqref="E10:E19">
      <formula1>"Nuevo,Modificación,Existente sin cambios"</formula1>
      <formula2>0</formula2>
    </dataValidation>
  </dataValidations>
  <pageMargins left="0.75" right="0.75" top="1" bottom="1" header="0.511811023622047" footer="0.511811023622047"/>
  <pageSetup paperSize="9" orientation="portrait" horizontalDpi="300" verticalDpi="300"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6"/>
  <sheetViews>
    <sheetView showGridLines="0" topLeftCell="A19" zoomScale="130" zoomScaleNormal="130" workbookViewId="0">
      <selection activeCell="G5" sqref="G5"/>
    </sheetView>
  </sheetViews>
  <sheetFormatPr baseColWidth="10" defaultColWidth="8.7109375" defaultRowHeight="15" x14ac:dyDescent="0.25"/>
  <cols>
    <col min="1" max="1" width="3.85546875" style="1" customWidth="1"/>
    <col min="2" max="2" width="8" style="1" customWidth="1"/>
    <col min="3" max="3" width="16" style="1" customWidth="1"/>
    <col min="4" max="4" width="34" style="1" customWidth="1"/>
    <col min="5" max="5" width="40" style="1" customWidth="1"/>
    <col min="6" max="6" width="14" style="1" customWidth="1"/>
    <col min="7" max="7" width="16" style="1" customWidth="1"/>
    <col min="8" max="8" width="26" style="1" customWidth="1"/>
    <col min="9" max="16384" width="8.7109375" style="1"/>
  </cols>
  <sheetData>
    <row r="1" spans="1:8" ht="27.75" customHeight="1" x14ac:dyDescent="0.25">
      <c r="A1" s="17" t="s">
        <v>47</v>
      </c>
      <c r="B1" s="17"/>
      <c r="C1" s="17"/>
      <c r="D1" s="17"/>
      <c r="E1" s="17"/>
      <c r="F1" s="17"/>
      <c r="G1" s="17"/>
      <c r="H1" s="17"/>
    </row>
    <row r="2" spans="1:8" x14ac:dyDescent="0.25">
      <c r="B2" s="22" t="s">
        <v>48</v>
      </c>
      <c r="C2" s="22"/>
      <c r="D2" s="22"/>
      <c r="E2" s="22"/>
      <c r="F2" s="22"/>
      <c r="G2" s="22"/>
      <c r="H2" s="22"/>
    </row>
    <row r="4" spans="1:8" ht="33.75" customHeight="1" x14ac:dyDescent="0.25">
      <c r="A4" s="6" t="s">
        <v>40</v>
      </c>
      <c r="B4" s="6" t="s">
        <v>49</v>
      </c>
      <c r="C4" s="6" t="s">
        <v>50</v>
      </c>
      <c r="D4" s="6" t="s">
        <v>51</v>
      </c>
      <c r="E4" s="6" t="s">
        <v>52</v>
      </c>
      <c r="F4" s="6" t="s">
        <v>53</v>
      </c>
      <c r="G4" s="6" t="s">
        <v>5</v>
      </c>
      <c r="H4" s="6" t="s">
        <v>54</v>
      </c>
    </row>
    <row r="5" spans="1:8" ht="192" customHeight="1" x14ac:dyDescent="0.25">
      <c r="A5" s="4">
        <v>1</v>
      </c>
      <c r="B5" s="4" t="s">
        <v>55</v>
      </c>
      <c r="C5" s="4" t="s">
        <v>137</v>
      </c>
      <c r="D5" s="4" t="s">
        <v>138</v>
      </c>
      <c r="E5" s="4" t="s">
        <v>140</v>
      </c>
      <c r="F5" s="4" t="s">
        <v>56</v>
      </c>
      <c r="G5" s="4" t="s">
        <v>45</v>
      </c>
      <c r="H5" s="4" t="s">
        <v>252</v>
      </c>
    </row>
    <row r="6" spans="1:8" ht="177.75" customHeight="1" x14ac:dyDescent="0.25">
      <c r="A6" s="3">
        <v>2</v>
      </c>
      <c r="B6" s="4" t="s">
        <v>139</v>
      </c>
      <c r="C6" s="4" t="s">
        <v>132</v>
      </c>
      <c r="D6" s="4" t="s">
        <v>141</v>
      </c>
      <c r="E6" s="4" t="s">
        <v>142</v>
      </c>
      <c r="F6" s="3" t="s">
        <v>56</v>
      </c>
      <c r="G6" s="3" t="s">
        <v>45</v>
      </c>
      <c r="H6" s="3" t="s">
        <v>253</v>
      </c>
    </row>
    <row r="7" spans="1:8" ht="128.25" customHeight="1" x14ac:dyDescent="0.25">
      <c r="A7" s="3">
        <v>3</v>
      </c>
      <c r="B7" s="4" t="s">
        <v>145</v>
      </c>
      <c r="C7" s="3" t="s">
        <v>146</v>
      </c>
      <c r="D7" s="3" t="s">
        <v>147</v>
      </c>
      <c r="E7" s="3" t="s">
        <v>151</v>
      </c>
      <c r="F7" s="3" t="s">
        <v>56</v>
      </c>
      <c r="G7" s="3" t="s">
        <v>45</v>
      </c>
      <c r="H7" s="3" t="s">
        <v>254</v>
      </c>
    </row>
    <row r="8" spans="1:8" ht="122.25" customHeight="1" x14ac:dyDescent="0.25">
      <c r="A8" s="3">
        <v>4</v>
      </c>
      <c r="B8" s="4" t="s">
        <v>149</v>
      </c>
      <c r="C8" s="4" t="s">
        <v>150</v>
      </c>
      <c r="D8" s="3" t="s">
        <v>208</v>
      </c>
      <c r="E8" s="3" t="s">
        <v>209</v>
      </c>
      <c r="F8" s="3" t="s">
        <v>56</v>
      </c>
      <c r="G8" s="3" t="s">
        <v>45</v>
      </c>
      <c r="H8" s="3" t="s">
        <v>255</v>
      </c>
    </row>
    <row r="9" spans="1:8" ht="109.5" customHeight="1" x14ac:dyDescent="0.25">
      <c r="A9" s="3">
        <v>5</v>
      </c>
      <c r="B9" s="4" t="s">
        <v>174</v>
      </c>
      <c r="C9" s="4" t="s">
        <v>210</v>
      </c>
      <c r="D9" s="4" t="s">
        <v>173</v>
      </c>
      <c r="E9" s="3" t="s">
        <v>211</v>
      </c>
      <c r="F9" s="3" t="s">
        <v>56</v>
      </c>
      <c r="G9" s="3" t="s">
        <v>45</v>
      </c>
      <c r="H9" s="3" t="s">
        <v>212</v>
      </c>
    </row>
    <row r="10" spans="1:8" ht="182.25" customHeight="1" x14ac:dyDescent="0.25">
      <c r="A10" s="3">
        <v>6</v>
      </c>
      <c r="B10" s="4" t="s">
        <v>175</v>
      </c>
      <c r="C10" s="4" t="s">
        <v>213</v>
      </c>
      <c r="D10" s="4" t="s">
        <v>179</v>
      </c>
      <c r="E10" s="3" t="s">
        <v>214</v>
      </c>
      <c r="F10" s="3" t="s">
        <v>56</v>
      </c>
      <c r="G10" s="3" t="s">
        <v>45</v>
      </c>
      <c r="H10" s="3" t="s">
        <v>215</v>
      </c>
    </row>
    <row r="11" spans="1:8" ht="133.5" customHeight="1" x14ac:dyDescent="0.25">
      <c r="A11" s="3">
        <v>7</v>
      </c>
      <c r="B11" s="4" t="s">
        <v>176</v>
      </c>
      <c r="C11" s="4" t="s">
        <v>135</v>
      </c>
      <c r="D11" s="4" t="s">
        <v>180</v>
      </c>
      <c r="E11" s="3" t="s">
        <v>216</v>
      </c>
      <c r="F11" s="3" t="s">
        <v>56</v>
      </c>
      <c r="G11" s="3" t="s">
        <v>45</v>
      </c>
      <c r="H11" s="3" t="s">
        <v>217</v>
      </c>
    </row>
    <row r="12" spans="1:8" ht="135.75" customHeight="1" x14ac:dyDescent="0.25">
      <c r="A12" s="3">
        <v>8</v>
      </c>
      <c r="B12" s="4" t="s">
        <v>177</v>
      </c>
      <c r="C12" s="4" t="s">
        <v>218</v>
      </c>
      <c r="D12" s="4" t="s">
        <v>181</v>
      </c>
      <c r="E12" s="3" t="s">
        <v>219</v>
      </c>
      <c r="F12" s="3" t="s">
        <v>56</v>
      </c>
      <c r="G12" s="3" t="s">
        <v>45</v>
      </c>
      <c r="H12" s="3" t="s">
        <v>220</v>
      </c>
    </row>
    <row r="13" spans="1:8" ht="129.75" customHeight="1" x14ac:dyDescent="0.25">
      <c r="A13" s="3">
        <v>9</v>
      </c>
      <c r="B13" s="4" t="s">
        <v>178</v>
      </c>
      <c r="C13" s="4" t="s">
        <v>132</v>
      </c>
      <c r="D13" s="4" t="s">
        <v>182</v>
      </c>
      <c r="E13" s="3" t="s">
        <v>221</v>
      </c>
      <c r="F13" s="3" t="s">
        <v>56</v>
      </c>
      <c r="G13" s="3" t="s">
        <v>45</v>
      </c>
      <c r="H13" s="3" t="s">
        <v>222</v>
      </c>
    </row>
    <row r="14" spans="1:8" ht="93.75" customHeight="1" x14ac:dyDescent="0.25">
      <c r="A14" s="3">
        <v>10</v>
      </c>
      <c r="B14" s="4" t="s">
        <v>186</v>
      </c>
      <c r="C14" s="4" t="s">
        <v>132</v>
      </c>
      <c r="D14" s="4" t="s">
        <v>183</v>
      </c>
      <c r="E14" s="3" t="s">
        <v>223</v>
      </c>
      <c r="F14" s="3" t="s">
        <v>56</v>
      </c>
      <c r="G14" s="3" t="s">
        <v>45</v>
      </c>
      <c r="H14" s="3" t="s">
        <v>224</v>
      </c>
    </row>
    <row r="15" spans="1:8" ht="104.25" customHeight="1" x14ac:dyDescent="0.25">
      <c r="A15" s="3">
        <v>11</v>
      </c>
      <c r="B15" s="4" t="s">
        <v>185</v>
      </c>
      <c r="C15" s="4" t="s">
        <v>218</v>
      </c>
      <c r="D15" s="4" t="s">
        <v>184</v>
      </c>
      <c r="E15" s="3" t="s">
        <v>225</v>
      </c>
      <c r="F15" s="3" t="s">
        <v>56</v>
      </c>
      <c r="G15" s="3" t="s">
        <v>117</v>
      </c>
      <c r="H15" s="3" t="s">
        <v>226</v>
      </c>
    </row>
    <row r="16" spans="1:8" ht="113.25" customHeight="1" x14ac:dyDescent="0.25">
      <c r="A16" s="3">
        <v>12</v>
      </c>
      <c r="B16" s="3" t="s">
        <v>187</v>
      </c>
      <c r="C16" s="4" t="s">
        <v>218</v>
      </c>
      <c r="D16" s="4" t="s">
        <v>190</v>
      </c>
      <c r="E16" s="3" t="s">
        <v>227</v>
      </c>
      <c r="F16" s="3" t="s">
        <v>56</v>
      </c>
      <c r="G16" s="3" t="s">
        <v>45</v>
      </c>
      <c r="H16" s="3" t="s">
        <v>228</v>
      </c>
    </row>
    <row r="17" spans="1:8" ht="90" customHeight="1" x14ac:dyDescent="0.25">
      <c r="A17" s="3">
        <v>13</v>
      </c>
      <c r="B17" s="3" t="s">
        <v>188</v>
      </c>
      <c r="C17" s="4" t="s">
        <v>218</v>
      </c>
      <c r="D17" s="4" t="s">
        <v>191</v>
      </c>
      <c r="E17" s="3" t="s">
        <v>229</v>
      </c>
      <c r="F17" s="3" t="s">
        <v>56</v>
      </c>
      <c r="G17" s="3" t="s">
        <v>117</v>
      </c>
      <c r="H17" s="3" t="s">
        <v>230</v>
      </c>
    </row>
    <row r="18" spans="1:8" ht="110.25" customHeight="1" x14ac:dyDescent="0.25">
      <c r="A18" s="3">
        <v>14</v>
      </c>
      <c r="B18" s="3" t="s">
        <v>189</v>
      </c>
      <c r="C18" s="4" t="s">
        <v>218</v>
      </c>
      <c r="D18" s="4" t="s">
        <v>192</v>
      </c>
      <c r="E18" s="3" t="s">
        <v>231</v>
      </c>
      <c r="F18" s="3" t="s">
        <v>56</v>
      </c>
      <c r="G18" s="3" t="s">
        <v>45</v>
      </c>
      <c r="H18" s="3" t="s">
        <v>232</v>
      </c>
    </row>
    <row r="19" spans="1:8" ht="89.25" customHeight="1" x14ac:dyDescent="0.25">
      <c r="A19" s="4">
        <v>15</v>
      </c>
      <c r="B19" s="3" t="s">
        <v>193</v>
      </c>
      <c r="C19" s="3" t="s">
        <v>233</v>
      </c>
      <c r="D19" s="3" t="s">
        <v>201</v>
      </c>
      <c r="E19" s="3" t="s">
        <v>234</v>
      </c>
      <c r="F19" s="3" t="s">
        <v>56</v>
      </c>
      <c r="G19" s="3" t="s">
        <v>45</v>
      </c>
      <c r="H19" s="3" t="s">
        <v>235</v>
      </c>
    </row>
    <row r="20" spans="1:8" ht="95.25" customHeight="1" x14ac:dyDescent="0.25">
      <c r="A20" s="3">
        <v>16</v>
      </c>
      <c r="B20" s="3" t="s">
        <v>194</v>
      </c>
      <c r="C20" s="3" t="s">
        <v>218</v>
      </c>
      <c r="D20" s="3" t="s">
        <v>202</v>
      </c>
      <c r="E20" s="3" t="s">
        <v>236</v>
      </c>
      <c r="F20" s="3" t="s">
        <v>56</v>
      </c>
      <c r="G20" s="3" t="s">
        <v>117</v>
      </c>
      <c r="H20" s="3" t="s">
        <v>237</v>
      </c>
    </row>
    <row r="21" spans="1:8" ht="93" customHeight="1" x14ac:dyDescent="0.25">
      <c r="A21" s="3">
        <v>17</v>
      </c>
      <c r="B21" s="3" t="s">
        <v>195</v>
      </c>
      <c r="C21" s="3" t="s">
        <v>218</v>
      </c>
      <c r="D21" s="3" t="s">
        <v>203</v>
      </c>
      <c r="E21" s="3" t="s">
        <v>238</v>
      </c>
      <c r="F21" s="3" t="s">
        <v>56</v>
      </c>
      <c r="G21" s="3" t="s">
        <v>45</v>
      </c>
      <c r="H21" s="3" t="s">
        <v>239</v>
      </c>
    </row>
    <row r="22" spans="1:8" ht="99.75" customHeight="1" x14ac:dyDescent="0.25">
      <c r="A22" s="3">
        <v>18</v>
      </c>
      <c r="B22" s="3" t="s">
        <v>196</v>
      </c>
      <c r="C22" s="3" t="s">
        <v>169</v>
      </c>
      <c r="D22" s="3" t="s">
        <v>169</v>
      </c>
      <c r="E22" s="3" t="s">
        <v>240</v>
      </c>
      <c r="F22" s="3" t="s">
        <v>56</v>
      </c>
      <c r="G22" s="3" t="s">
        <v>117</v>
      </c>
      <c r="H22" s="3" t="s">
        <v>241</v>
      </c>
    </row>
    <row r="23" spans="1:8" ht="84.75" customHeight="1" x14ac:dyDescent="0.25">
      <c r="A23" s="3">
        <v>19</v>
      </c>
      <c r="B23" s="3" t="s">
        <v>197</v>
      </c>
      <c r="C23" s="3" t="s">
        <v>169</v>
      </c>
      <c r="D23" s="3" t="s">
        <v>204</v>
      </c>
      <c r="E23" s="3" t="s">
        <v>242</v>
      </c>
      <c r="F23" s="3" t="s">
        <v>56</v>
      </c>
      <c r="G23" s="3" t="s">
        <v>117</v>
      </c>
      <c r="H23" s="3" t="s">
        <v>243</v>
      </c>
    </row>
    <row r="24" spans="1:8" ht="97.5" customHeight="1" x14ac:dyDescent="0.25">
      <c r="A24" s="3">
        <v>20</v>
      </c>
      <c r="B24" s="3" t="s">
        <v>198</v>
      </c>
      <c r="C24" s="3" t="s">
        <v>244</v>
      </c>
      <c r="D24" s="3" t="s">
        <v>205</v>
      </c>
      <c r="E24" s="3" t="s">
        <v>245</v>
      </c>
      <c r="F24" s="3" t="s">
        <v>56</v>
      </c>
      <c r="G24" s="3" t="s">
        <v>45</v>
      </c>
      <c r="H24" s="3" t="s">
        <v>246</v>
      </c>
    </row>
    <row r="25" spans="1:8" ht="123.75" customHeight="1" x14ac:dyDescent="0.25">
      <c r="A25" s="3">
        <v>21</v>
      </c>
      <c r="B25" s="3" t="s">
        <v>199</v>
      </c>
      <c r="C25" s="3" t="s">
        <v>247</v>
      </c>
      <c r="D25" s="3" t="s">
        <v>206</v>
      </c>
      <c r="E25" s="3" t="s">
        <v>248</v>
      </c>
      <c r="F25" s="3" t="s">
        <v>56</v>
      </c>
      <c r="G25" s="3" t="s">
        <v>45</v>
      </c>
      <c r="H25" s="3" t="s">
        <v>249</v>
      </c>
    </row>
    <row r="26" spans="1:8" ht="92.25" customHeight="1" x14ac:dyDescent="0.25">
      <c r="A26" s="3">
        <v>22</v>
      </c>
      <c r="B26" s="3" t="s">
        <v>200</v>
      </c>
      <c r="C26" s="3" t="s">
        <v>210</v>
      </c>
      <c r="D26" s="3" t="s">
        <v>207</v>
      </c>
      <c r="E26" s="3" t="s">
        <v>250</v>
      </c>
      <c r="F26" s="3" t="s">
        <v>56</v>
      </c>
      <c r="G26" s="3" t="s">
        <v>45</v>
      </c>
      <c r="H26" s="3" t="s">
        <v>251</v>
      </c>
    </row>
  </sheetData>
  <mergeCells count="2">
    <mergeCell ref="A1:H1"/>
    <mergeCell ref="B2:H2"/>
  </mergeCells>
  <dataValidations count="2">
    <dataValidation type="list" allowBlank="1" sqref="F5:F25">
      <formula1>"Funcional,No funcional,Regla de negocio,Integración,Seguridad,Reporte"</formula1>
      <formula2>0</formula2>
    </dataValidation>
    <dataValidation type="list" allowBlank="1" sqref="G5:G25">
      <formula1>"Crítica,Alta,Media,Baja"</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Normal="100" workbookViewId="0">
      <selection activeCell="L29" sqref="L29"/>
    </sheetView>
  </sheetViews>
  <sheetFormatPr baseColWidth="10" defaultRowHeight="15"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Views>
    <sheetView showGridLines="0" zoomScale="115" zoomScaleNormal="115" workbookViewId="0">
      <pane ySplit="4" topLeftCell="A5" activePane="bottomLeft" state="frozen"/>
      <selection pane="bottomLeft" activeCell="B8" sqref="B8:E8"/>
    </sheetView>
  </sheetViews>
  <sheetFormatPr baseColWidth="10" defaultColWidth="8.7109375" defaultRowHeight="15" x14ac:dyDescent="0.25"/>
  <cols>
    <col min="1" max="1" width="29.5703125" style="1" customWidth="1"/>
    <col min="2" max="2" width="20" style="1" customWidth="1"/>
    <col min="3" max="3" width="34" style="1" customWidth="1"/>
    <col min="4" max="4" width="30" style="1" customWidth="1"/>
    <col min="5" max="5" width="20" style="1" customWidth="1"/>
    <col min="6" max="16384" width="8.7109375" style="1"/>
  </cols>
  <sheetData>
    <row r="1" spans="1:5" ht="27.75" customHeight="1" x14ac:dyDescent="0.25">
      <c r="A1" s="17" t="s">
        <v>57</v>
      </c>
      <c r="B1" s="17"/>
      <c r="C1" s="17"/>
      <c r="D1" s="17"/>
      <c r="E1" s="17"/>
    </row>
    <row r="2" spans="1:5" x14ac:dyDescent="0.25">
      <c r="B2" s="22" t="s">
        <v>58</v>
      </c>
      <c r="C2" s="22"/>
      <c r="D2" s="22"/>
      <c r="E2" s="22"/>
    </row>
    <row r="4" spans="1:5" ht="25.5" customHeight="1" x14ac:dyDescent="0.25">
      <c r="A4" s="6" t="s">
        <v>40</v>
      </c>
      <c r="B4" s="6" t="s">
        <v>59</v>
      </c>
      <c r="C4" s="6" t="s">
        <v>60</v>
      </c>
      <c r="D4" s="6" t="s">
        <v>61</v>
      </c>
      <c r="E4" s="6" t="s">
        <v>62</v>
      </c>
    </row>
    <row r="5" spans="1:5" ht="39.75" customHeight="1" x14ac:dyDescent="0.25">
      <c r="A5" s="4">
        <v>1</v>
      </c>
      <c r="B5" s="4" t="s">
        <v>153</v>
      </c>
      <c r="C5" s="4" t="s">
        <v>152</v>
      </c>
      <c r="D5" s="4" t="s">
        <v>154</v>
      </c>
      <c r="E5" s="4">
        <v>5</v>
      </c>
    </row>
    <row r="7" spans="1:5" ht="19.5" customHeight="1" x14ac:dyDescent="0.25">
      <c r="A7" s="18" t="s">
        <v>63</v>
      </c>
      <c r="B7" s="18"/>
      <c r="C7" s="18"/>
      <c r="D7" s="18"/>
      <c r="E7" s="18"/>
    </row>
    <row r="8" spans="1:5" ht="25.5" x14ac:dyDescent="0.25">
      <c r="A8" s="2" t="s">
        <v>64</v>
      </c>
      <c r="B8" s="14" t="s">
        <v>155</v>
      </c>
      <c r="C8" s="14"/>
      <c r="D8" s="14"/>
      <c r="E8" s="14"/>
    </row>
    <row r="9" spans="1:5" ht="25.5" x14ac:dyDescent="0.25">
      <c r="A9" s="2" t="s">
        <v>65</v>
      </c>
      <c r="B9" s="14" t="s">
        <v>155</v>
      </c>
      <c r="C9" s="14"/>
      <c r="D9" s="14"/>
      <c r="E9" s="14"/>
    </row>
    <row r="10" spans="1:5" ht="38.25" x14ac:dyDescent="0.25">
      <c r="A10" s="2" t="s">
        <v>66</v>
      </c>
      <c r="B10" s="14" t="s">
        <v>155</v>
      </c>
      <c r="C10" s="14"/>
      <c r="D10" s="14"/>
      <c r="E10" s="14"/>
    </row>
    <row r="11" spans="1:5" ht="25.5" x14ac:dyDescent="0.25">
      <c r="A11" s="2" t="s">
        <v>67</v>
      </c>
      <c r="B11" s="14" t="s">
        <v>155</v>
      </c>
      <c r="C11" s="14"/>
      <c r="D11" s="14"/>
      <c r="E11" s="14"/>
    </row>
    <row r="12" spans="1:5" ht="38.25" x14ac:dyDescent="0.25">
      <c r="A12" s="2" t="s">
        <v>68</v>
      </c>
      <c r="B12" s="14" t="s">
        <v>156</v>
      </c>
      <c r="C12" s="14"/>
      <c r="D12" s="14"/>
      <c r="E12" s="14"/>
    </row>
  </sheetData>
  <mergeCells count="8">
    <mergeCell ref="B10:E10"/>
    <mergeCell ref="B11:E11"/>
    <mergeCell ref="B12:E12"/>
    <mergeCell ref="A1:E1"/>
    <mergeCell ref="B2:E2"/>
    <mergeCell ref="A7:E7"/>
    <mergeCell ref="B8:E8"/>
    <mergeCell ref="B9:E9"/>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
  <sheetViews>
    <sheetView showGridLines="0" zoomScale="115" zoomScaleNormal="115" workbookViewId="0">
      <pane ySplit="3" topLeftCell="A4" activePane="bottomLeft" state="frozen"/>
      <selection pane="bottomLeft" activeCell="C25" sqref="C25"/>
    </sheetView>
  </sheetViews>
  <sheetFormatPr baseColWidth="10" defaultColWidth="8.7109375" defaultRowHeight="15" x14ac:dyDescent="0.25"/>
  <cols>
    <col min="1" max="1" width="16" style="1" customWidth="1"/>
    <col min="2" max="2" width="46.85546875" style="1" customWidth="1"/>
    <col min="3" max="3" width="30" style="1" customWidth="1"/>
    <col min="4" max="4" width="16" style="1" customWidth="1"/>
    <col min="5" max="5" width="27.85546875" style="1" customWidth="1"/>
    <col min="6" max="7" width="14" style="1" customWidth="1"/>
    <col min="8" max="8" width="16" style="1" customWidth="1"/>
    <col min="9" max="9" width="24" style="1" customWidth="1"/>
    <col min="10" max="16384" width="8.7109375" style="1"/>
  </cols>
  <sheetData>
    <row r="1" spans="1:9" ht="27.75" customHeight="1" x14ac:dyDescent="0.25">
      <c r="A1" s="17" t="s">
        <v>69</v>
      </c>
      <c r="B1" s="17"/>
      <c r="C1" s="17"/>
      <c r="D1" s="17"/>
      <c r="E1" s="17"/>
      <c r="F1" s="17"/>
      <c r="G1" s="17"/>
      <c r="H1" s="17"/>
      <c r="I1" s="17"/>
    </row>
    <row r="3" spans="1:9" ht="27.75" customHeight="1" x14ac:dyDescent="0.25">
      <c r="A3" s="6" t="s">
        <v>40</v>
      </c>
      <c r="B3" s="6" t="s">
        <v>70</v>
      </c>
      <c r="C3" s="6" t="s">
        <v>71</v>
      </c>
      <c r="D3" s="6" t="s">
        <v>72</v>
      </c>
      <c r="E3" s="6" t="s">
        <v>73</v>
      </c>
      <c r="F3" s="6" t="s">
        <v>74</v>
      </c>
      <c r="G3" s="6" t="s">
        <v>75</v>
      </c>
      <c r="H3" s="6" t="s">
        <v>76</v>
      </c>
      <c r="I3" s="6" t="s">
        <v>44</v>
      </c>
    </row>
    <row r="4" spans="1:9" ht="19.5" customHeight="1" x14ac:dyDescent="0.25">
      <c r="A4" s="3">
        <v>1</v>
      </c>
      <c r="B4" s="3" t="s">
        <v>77</v>
      </c>
      <c r="C4" s="3" t="s">
        <v>78</v>
      </c>
      <c r="D4" s="3"/>
      <c r="E4" s="3"/>
      <c r="F4" s="7" t="str">
        <f t="shared" ref="F4:F13" si="0">IF(AND(D4&lt;&gt;"",E4&lt;&gt;""),NETWORKDAYS(D4,E4),"")</f>
        <v/>
      </c>
      <c r="G4" s="8"/>
      <c r="H4" s="3"/>
      <c r="I4" s="3"/>
    </row>
    <row r="5" spans="1:9" ht="19.5" customHeight="1" x14ac:dyDescent="0.25">
      <c r="A5" s="3">
        <v>2</v>
      </c>
      <c r="B5" s="3" t="s">
        <v>79</v>
      </c>
      <c r="C5" s="3" t="s">
        <v>80</v>
      </c>
      <c r="D5" s="3"/>
      <c r="E5" s="3"/>
      <c r="F5" s="7" t="str">
        <f t="shared" si="0"/>
        <v/>
      </c>
      <c r="G5" s="8"/>
      <c r="H5" s="3"/>
      <c r="I5" s="3"/>
    </row>
    <row r="6" spans="1:9" ht="19.5" customHeight="1" x14ac:dyDescent="0.25">
      <c r="A6" s="3">
        <v>3</v>
      </c>
      <c r="B6" s="3" t="s">
        <v>81</v>
      </c>
      <c r="C6" s="3" t="s">
        <v>82</v>
      </c>
      <c r="D6" s="3"/>
      <c r="E6" s="3"/>
      <c r="F6" s="7" t="str">
        <f t="shared" si="0"/>
        <v/>
      </c>
      <c r="G6" s="8"/>
      <c r="H6" s="3"/>
      <c r="I6" s="3"/>
    </row>
    <row r="7" spans="1:9" ht="19.5" customHeight="1" x14ac:dyDescent="0.25">
      <c r="A7" s="3">
        <v>4</v>
      </c>
      <c r="B7" s="3" t="s">
        <v>83</v>
      </c>
      <c r="C7" s="3" t="s">
        <v>82</v>
      </c>
      <c r="D7" s="3"/>
      <c r="E7" s="3"/>
      <c r="F7" s="7" t="str">
        <f t="shared" si="0"/>
        <v/>
      </c>
      <c r="G7" s="8"/>
      <c r="H7" s="3"/>
      <c r="I7" s="3"/>
    </row>
    <row r="8" spans="1:9" ht="19.5" customHeight="1" x14ac:dyDescent="0.25">
      <c r="A8" s="3">
        <v>5</v>
      </c>
      <c r="B8" s="3" t="s">
        <v>84</v>
      </c>
      <c r="C8" s="3" t="s">
        <v>85</v>
      </c>
      <c r="D8" s="3"/>
      <c r="E8" s="3"/>
      <c r="F8" s="7" t="str">
        <f t="shared" si="0"/>
        <v/>
      </c>
      <c r="G8" s="8"/>
      <c r="H8" s="3"/>
      <c r="I8" s="3"/>
    </row>
    <row r="9" spans="1:9" ht="19.5" customHeight="1" x14ac:dyDescent="0.25">
      <c r="A9" s="3">
        <v>6</v>
      </c>
      <c r="B9" s="3" t="s">
        <v>86</v>
      </c>
      <c r="C9" s="3" t="s">
        <v>87</v>
      </c>
      <c r="D9" s="3"/>
      <c r="E9" s="3"/>
      <c r="F9" s="7" t="str">
        <f t="shared" si="0"/>
        <v/>
      </c>
      <c r="G9" s="8"/>
      <c r="H9" s="3"/>
      <c r="I9" s="3"/>
    </row>
    <row r="10" spans="1:9" ht="19.5" customHeight="1" x14ac:dyDescent="0.25">
      <c r="A10" s="3">
        <v>7</v>
      </c>
      <c r="B10" s="3" t="s">
        <v>88</v>
      </c>
      <c r="C10" s="3" t="s">
        <v>85</v>
      </c>
      <c r="D10" s="3"/>
      <c r="E10" s="3"/>
      <c r="F10" s="7" t="str">
        <f t="shared" si="0"/>
        <v/>
      </c>
      <c r="G10" s="8"/>
      <c r="H10" s="3"/>
      <c r="I10" s="3"/>
    </row>
    <row r="11" spans="1:9" ht="19.5" customHeight="1" x14ac:dyDescent="0.25">
      <c r="A11" s="3">
        <v>8</v>
      </c>
      <c r="B11" s="3" t="s">
        <v>89</v>
      </c>
      <c r="C11" s="3" t="s">
        <v>80</v>
      </c>
      <c r="D11" s="3"/>
      <c r="E11" s="3"/>
      <c r="F11" s="7" t="str">
        <f t="shared" si="0"/>
        <v/>
      </c>
      <c r="G11" s="8"/>
      <c r="H11" s="3"/>
      <c r="I11" s="3"/>
    </row>
    <row r="12" spans="1:9" ht="19.5" customHeight="1" x14ac:dyDescent="0.25">
      <c r="A12" s="3">
        <v>9</v>
      </c>
      <c r="B12" s="3" t="s">
        <v>90</v>
      </c>
      <c r="C12" s="3" t="s">
        <v>91</v>
      </c>
      <c r="D12" s="3"/>
      <c r="E12" s="3"/>
      <c r="F12" s="7" t="str">
        <f t="shared" si="0"/>
        <v/>
      </c>
      <c r="G12" s="8"/>
      <c r="H12" s="3"/>
      <c r="I12" s="3"/>
    </row>
    <row r="13" spans="1:9" ht="19.5" customHeight="1" x14ac:dyDescent="0.25">
      <c r="A13" s="3">
        <v>10</v>
      </c>
      <c r="B13" s="3" t="s">
        <v>92</v>
      </c>
      <c r="C13" s="3" t="s">
        <v>80</v>
      </c>
      <c r="D13" s="3"/>
      <c r="E13" s="3"/>
      <c r="F13" s="7" t="str">
        <f t="shared" si="0"/>
        <v/>
      </c>
      <c r="G13" s="8"/>
      <c r="H13" s="3"/>
      <c r="I13" s="3"/>
    </row>
    <row r="15" spans="1:9" ht="19.5" customHeight="1" x14ac:dyDescent="0.25">
      <c r="A15" s="18" t="s">
        <v>93</v>
      </c>
      <c r="B15" s="18"/>
      <c r="C15" s="18"/>
      <c r="D15" s="18"/>
      <c r="E15" s="18"/>
      <c r="F15" s="18"/>
      <c r="G15" s="18"/>
      <c r="H15" s="18"/>
      <c r="I15" s="18"/>
    </row>
    <row r="16" spans="1:9" ht="38.25" x14ac:dyDescent="0.25">
      <c r="A16" s="2" t="s">
        <v>94</v>
      </c>
      <c r="B16" s="14"/>
      <c r="C16" s="14"/>
      <c r="E16" s="2" t="s">
        <v>95</v>
      </c>
      <c r="F16" s="14"/>
      <c r="G16" s="14"/>
    </row>
    <row r="17" spans="1:7" ht="38.25" x14ac:dyDescent="0.25">
      <c r="A17" s="2" t="s">
        <v>96</v>
      </c>
      <c r="B17" s="23">
        <f>SUM(F4:F14)</f>
        <v>0</v>
      </c>
      <c r="C17" s="23"/>
      <c r="E17" s="2" t="s">
        <v>97</v>
      </c>
      <c r="F17" s="14"/>
      <c r="G17" s="14"/>
    </row>
  </sheetData>
  <mergeCells count="6">
    <mergeCell ref="A1:I1"/>
    <mergeCell ref="A15:I15"/>
    <mergeCell ref="B16:C16"/>
    <mergeCell ref="F16:G16"/>
    <mergeCell ref="B17:C17"/>
    <mergeCell ref="F17:G17"/>
  </mergeCells>
  <dataValidations count="1">
    <dataValidation type="list" allowBlank="1" sqref="H4:H13">
      <formula1>"Sin iniciar,En curso,Completado,Retrasado,En pausa"</formula1>
      <formula2>0</formula2>
    </dataValidation>
  </dataValidation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9"/>
  <sheetViews>
    <sheetView showGridLines="0" zoomScaleNormal="100" workbookViewId="0">
      <pane ySplit="4" topLeftCell="A5" activePane="bottomLeft" state="frozen"/>
      <selection pane="bottomLeft" activeCell="E6" sqref="E6"/>
    </sheetView>
  </sheetViews>
  <sheetFormatPr baseColWidth="10" defaultColWidth="8.7109375" defaultRowHeight="15" x14ac:dyDescent="0.25"/>
  <cols>
    <col min="1" max="1" width="3" style="1" customWidth="1"/>
    <col min="2" max="2" width="8" style="1" customWidth="1"/>
    <col min="3" max="3" width="12" style="1" customWidth="1"/>
    <col min="4" max="4" width="34" style="1" customWidth="1"/>
    <col min="5" max="5" width="24" style="1" customWidth="1"/>
    <col min="6" max="6" width="20" style="1" customWidth="1"/>
    <col min="7" max="7" width="14" style="1" customWidth="1"/>
    <col min="8" max="8" width="20" style="1" customWidth="1"/>
    <col min="9" max="16384" width="8.7109375" style="1"/>
  </cols>
  <sheetData>
    <row r="1" spans="1:8" ht="27.75" customHeight="1" x14ac:dyDescent="0.25">
      <c r="A1" s="17" t="s">
        <v>98</v>
      </c>
      <c r="B1" s="17"/>
      <c r="C1" s="17"/>
      <c r="D1" s="17"/>
      <c r="E1" s="17"/>
      <c r="F1" s="17"/>
      <c r="G1" s="17"/>
      <c r="H1" s="17"/>
    </row>
    <row r="2" spans="1:8" x14ac:dyDescent="0.25">
      <c r="B2" s="22" t="s">
        <v>99</v>
      </c>
      <c r="C2" s="22"/>
      <c r="D2" s="22"/>
      <c r="E2" s="22"/>
      <c r="F2" s="22"/>
      <c r="G2" s="22"/>
      <c r="H2" s="22"/>
    </row>
    <row r="4" spans="1:8" ht="30" customHeight="1" x14ac:dyDescent="0.25">
      <c r="A4" s="6" t="s">
        <v>40</v>
      </c>
      <c r="B4" s="6" t="s">
        <v>100</v>
      </c>
      <c r="C4" s="6" t="s">
        <v>101</v>
      </c>
      <c r="D4" s="6" t="s">
        <v>102</v>
      </c>
      <c r="E4" s="6" t="s">
        <v>103</v>
      </c>
      <c r="F4" s="6" t="s">
        <v>104</v>
      </c>
      <c r="G4" s="6" t="s">
        <v>105</v>
      </c>
      <c r="H4" s="6" t="s">
        <v>106</v>
      </c>
    </row>
    <row r="5" spans="1:8" ht="34.5" customHeight="1" x14ac:dyDescent="0.25">
      <c r="A5" s="3"/>
      <c r="B5" s="3"/>
      <c r="C5" s="3"/>
      <c r="D5" s="3"/>
      <c r="E5" s="3"/>
      <c r="F5" s="3"/>
      <c r="G5" s="3"/>
      <c r="H5" s="3"/>
    </row>
    <row r="6" spans="1:8" ht="34.5" customHeight="1" x14ac:dyDescent="0.25">
      <c r="A6" s="3"/>
      <c r="B6" s="3"/>
      <c r="C6" s="3"/>
      <c r="D6" s="3"/>
      <c r="E6" s="3"/>
      <c r="F6" s="3"/>
      <c r="G6" s="3"/>
      <c r="H6" s="3"/>
    </row>
    <row r="7" spans="1:8" ht="34.5" customHeight="1" x14ac:dyDescent="0.25">
      <c r="A7" s="3"/>
      <c r="B7" s="3"/>
      <c r="C7" s="3"/>
      <c r="D7" s="3"/>
      <c r="E7" s="3"/>
      <c r="F7" s="3"/>
      <c r="G7" s="3"/>
      <c r="H7" s="3"/>
    </row>
    <row r="8" spans="1:8" ht="34.5" customHeight="1" x14ac:dyDescent="0.25">
      <c r="A8" s="3"/>
      <c r="B8" s="3"/>
      <c r="C8" s="3"/>
      <c r="D8" s="3"/>
      <c r="E8" s="3"/>
      <c r="F8" s="3"/>
      <c r="G8" s="3"/>
      <c r="H8" s="3"/>
    </row>
    <row r="9" spans="1:8" ht="34.5" customHeight="1" x14ac:dyDescent="0.25">
      <c r="A9" s="3"/>
      <c r="B9" s="3"/>
      <c r="C9" s="3"/>
      <c r="D9" s="3"/>
      <c r="E9" s="3"/>
      <c r="F9" s="3"/>
      <c r="G9" s="3"/>
      <c r="H9" s="3"/>
    </row>
    <row r="10" spans="1:8" ht="34.5" customHeight="1" x14ac:dyDescent="0.25">
      <c r="A10" s="3"/>
      <c r="B10" s="3"/>
      <c r="C10" s="3"/>
      <c r="D10" s="3"/>
      <c r="E10" s="3"/>
      <c r="F10" s="3"/>
      <c r="G10" s="3"/>
      <c r="H10" s="3"/>
    </row>
    <row r="11" spans="1:8" ht="34.5" customHeight="1" x14ac:dyDescent="0.25">
      <c r="A11" s="3"/>
      <c r="B11" s="3"/>
      <c r="C11" s="3"/>
      <c r="D11" s="3"/>
      <c r="E11" s="3"/>
      <c r="F11" s="3"/>
      <c r="G11" s="3"/>
      <c r="H11" s="3"/>
    </row>
    <row r="12" spans="1:8" ht="34.5" customHeight="1" x14ac:dyDescent="0.25">
      <c r="A12" s="3"/>
      <c r="B12" s="3"/>
      <c r="C12" s="3"/>
      <c r="D12" s="3"/>
      <c r="E12" s="3"/>
      <c r="F12" s="3"/>
      <c r="G12" s="3"/>
      <c r="H12" s="3"/>
    </row>
    <row r="13" spans="1:8" ht="34.5" customHeight="1" x14ac:dyDescent="0.25">
      <c r="A13" s="3"/>
      <c r="B13" s="3"/>
      <c r="C13" s="3"/>
      <c r="D13" s="3"/>
      <c r="E13" s="3"/>
      <c r="F13" s="3"/>
      <c r="G13" s="3"/>
      <c r="H13" s="3"/>
    </row>
    <row r="14" spans="1:8" ht="34.5" customHeight="1" x14ac:dyDescent="0.25">
      <c r="A14" s="3"/>
      <c r="B14" s="3"/>
      <c r="C14" s="3"/>
      <c r="D14" s="3"/>
      <c r="E14" s="3"/>
      <c r="F14" s="3"/>
      <c r="G14" s="3"/>
      <c r="H14" s="3"/>
    </row>
    <row r="15" spans="1:8" ht="34.5" customHeight="1" x14ac:dyDescent="0.25">
      <c r="A15" s="3"/>
      <c r="B15" s="3"/>
      <c r="C15" s="3"/>
      <c r="D15" s="3"/>
      <c r="E15" s="3"/>
      <c r="F15" s="3"/>
      <c r="G15" s="3"/>
      <c r="H15" s="3"/>
    </row>
    <row r="16" spans="1:8" ht="34.5" customHeight="1" x14ac:dyDescent="0.25">
      <c r="A16" s="3"/>
      <c r="B16" s="3"/>
      <c r="C16" s="3"/>
      <c r="D16" s="3"/>
      <c r="E16" s="3"/>
      <c r="F16" s="3"/>
      <c r="G16" s="3"/>
      <c r="H16" s="3"/>
    </row>
    <row r="17" spans="1:8" ht="34.5" customHeight="1" x14ac:dyDescent="0.25">
      <c r="A17" s="3"/>
      <c r="B17" s="3"/>
      <c r="C17" s="3"/>
      <c r="D17" s="3"/>
      <c r="E17" s="3"/>
      <c r="F17" s="3"/>
      <c r="G17" s="3"/>
      <c r="H17" s="3"/>
    </row>
    <row r="18" spans="1:8" ht="34.5" customHeight="1" x14ac:dyDescent="0.25">
      <c r="A18" s="3"/>
      <c r="B18" s="3"/>
      <c r="C18" s="3"/>
      <c r="D18" s="3"/>
      <c r="E18" s="3"/>
      <c r="F18" s="3"/>
      <c r="G18" s="3"/>
      <c r="H18" s="3"/>
    </row>
    <row r="19" spans="1:8" ht="34.5" customHeight="1" x14ac:dyDescent="0.25">
      <c r="A19" s="3"/>
      <c r="B19" s="3"/>
      <c r="C19" s="3"/>
      <c r="D19" s="3"/>
      <c r="E19" s="3"/>
      <c r="F19" s="3"/>
      <c r="G19" s="3"/>
      <c r="H19" s="3"/>
    </row>
  </sheetData>
  <mergeCells count="2">
    <mergeCell ref="A1:H1"/>
    <mergeCell ref="B2:H2"/>
  </mergeCells>
  <dataValidations count="1">
    <dataValidation type="list" allowBlank="1" sqref="H5:H19">
      <formula1>"Sí,No,En evaluación"</formula1>
      <formula2>0</formula2>
    </dataValidation>
  </dataValidation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Views>
    <sheetView showGridLines="0" zoomScaleNormal="100" workbookViewId="0">
      <selection activeCell="B11" sqref="B11"/>
    </sheetView>
  </sheetViews>
  <sheetFormatPr baseColWidth="10" defaultColWidth="8.7109375" defaultRowHeight="15" x14ac:dyDescent="0.25"/>
  <cols>
    <col min="1" max="1" width="31.42578125" style="1" customWidth="1"/>
    <col min="2" max="2" width="30" style="1" customWidth="1"/>
    <col min="3" max="3" width="34" style="1" customWidth="1"/>
    <col min="4" max="4" width="30" style="1" customWidth="1"/>
    <col min="5" max="16384" width="8.7109375" style="1"/>
  </cols>
  <sheetData>
    <row r="1" spans="1:4" ht="27.75" customHeight="1" x14ac:dyDescent="0.25">
      <c r="A1" s="17" t="s">
        <v>107</v>
      </c>
      <c r="B1" s="17"/>
      <c r="C1" s="17"/>
      <c r="D1" s="17"/>
    </row>
    <row r="2" spans="1:4" x14ac:dyDescent="0.25">
      <c r="B2" s="22" t="s">
        <v>108</v>
      </c>
      <c r="C2" s="22"/>
      <c r="D2" s="22"/>
    </row>
    <row r="4" spans="1:4" ht="19.5" customHeight="1" x14ac:dyDescent="0.25">
      <c r="A4" s="18" t="s">
        <v>109</v>
      </c>
      <c r="B4" s="18"/>
      <c r="C4" s="18"/>
      <c r="D4" s="18"/>
    </row>
    <row r="5" spans="1:4" ht="69.75" customHeight="1" x14ac:dyDescent="0.25">
      <c r="B5" s="24" t="s">
        <v>110</v>
      </c>
      <c r="C5" s="24"/>
      <c r="D5" s="24"/>
    </row>
    <row r="6" spans="1:4" x14ac:dyDescent="0.25">
      <c r="B6" s="24"/>
      <c r="C6" s="24"/>
      <c r="D6" s="24"/>
    </row>
    <row r="7" spans="1:4" x14ac:dyDescent="0.25">
      <c r="B7" s="24"/>
      <c r="C7" s="24"/>
      <c r="D7" s="24"/>
    </row>
    <row r="9" spans="1:4" ht="19.5" customHeight="1" x14ac:dyDescent="0.25">
      <c r="A9" s="18" t="s">
        <v>111</v>
      </c>
      <c r="B9" s="18"/>
      <c r="C9" s="18"/>
      <c r="D9" s="18"/>
    </row>
    <row r="10" spans="1:4" x14ac:dyDescent="0.25">
      <c r="A10" s="6" t="s">
        <v>112</v>
      </c>
      <c r="B10" s="6" t="s">
        <v>113</v>
      </c>
      <c r="C10" s="6" t="s">
        <v>114</v>
      </c>
      <c r="D10" s="6" t="s">
        <v>100</v>
      </c>
    </row>
    <row r="11" spans="1:4" ht="30" customHeight="1" x14ac:dyDescent="0.25">
      <c r="A11" s="3" t="s">
        <v>87</v>
      </c>
      <c r="B11" s="9"/>
      <c r="C11" s="9"/>
      <c r="D11" s="9"/>
    </row>
    <row r="12" spans="1:4" ht="30" customHeight="1" x14ac:dyDescent="0.25">
      <c r="A12" s="3" t="s">
        <v>12</v>
      </c>
      <c r="B12" s="9"/>
      <c r="C12" s="9"/>
      <c r="D12" s="9"/>
    </row>
    <row r="13" spans="1:4" ht="30" customHeight="1" x14ac:dyDescent="0.25">
      <c r="A13" s="3" t="s">
        <v>115</v>
      </c>
      <c r="B13" s="9"/>
      <c r="C13" s="9"/>
      <c r="D13" s="9"/>
    </row>
  </sheetData>
  <mergeCells count="5">
    <mergeCell ref="A1:D1"/>
    <mergeCell ref="B2:D2"/>
    <mergeCell ref="A4:D4"/>
    <mergeCell ref="B5:D7"/>
    <mergeCell ref="A9:D9"/>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1. Datos Generales</vt:lpstr>
      <vt:lpstr>2. Justificación</vt:lpstr>
      <vt:lpstr>3. Alcance y Módulos</vt:lpstr>
      <vt:lpstr>4. Requerimientos Funcionales</vt:lpstr>
      <vt:lpstr>Diagrama de flujo sistema HSEQ</vt:lpstr>
      <vt:lpstr>5. Roles y Responsabilidades</vt:lpstr>
      <vt:lpstr>6. Estimado de Tiempos</vt:lpstr>
      <vt:lpstr>7. Control de Cambios</vt:lpstr>
      <vt:lpstr>8. Aprobación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Jose Mateo Lopez Cifuentes</cp:lastModifiedBy>
  <cp:revision>0</cp:revision>
  <dcterms:created xsi:type="dcterms:W3CDTF">2026-07-22T13:50:27Z</dcterms:created>
  <dcterms:modified xsi:type="dcterms:W3CDTF">2026-08-03T14:37:09Z</dcterms:modified>
  <dc:language>en-US</dc:language>
</cp:coreProperties>
</file>